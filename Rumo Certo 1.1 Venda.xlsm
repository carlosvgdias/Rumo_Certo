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e5363436d1d564b/Documentos/Produtos Digitais/Rumo Certo 1.0/"/>
    </mc:Choice>
  </mc:AlternateContent>
  <xr:revisionPtr revIDLastSave="652" documentId="8_{31DDBED3-24B4-4234-8850-62BDAF1AF910}" xr6:coauthVersionLast="47" xr6:coauthVersionMax="47" xr10:uidLastSave="{20D16E86-4E42-47FF-A912-DE2156C01886}"/>
  <bookViews>
    <workbookView xWindow="-120" yWindow="-120" windowWidth="20730" windowHeight="11040" activeTab="2" xr2:uid="{6E5BFDB7-3766-4A08-A541-60B369C59E92}"/>
  </bookViews>
  <sheets>
    <sheet name="Início" sheetId="17" r:id="rId1"/>
    <sheet name="Dívidas" sheetId="18" r:id="rId2"/>
    <sheet name="Registros" sheetId="15" r:id="rId3"/>
    <sheet name="Tabelas Auxiliares" sheetId="16" r:id="rId4"/>
    <sheet name="JAN" sheetId="12" r:id="rId5"/>
    <sheet name="FEV" sheetId="2" r:id="rId6"/>
    <sheet name="MAR" sheetId="3" r:id="rId7"/>
    <sheet name="ABR" sheetId="4" r:id="rId8"/>
    <sheet name="MAI" sheetId="5" r:id="rId9"/>
    <sheet name="JUN" sheetId="6" r:id="rId10"/>
    <sheet name="JUL" sheetId="7" r:id="rId11"/>
    <sheet name="AGO" sheetId="8" r:id="rId12"/>
    <sheet name="SET" sheetId="9" r:id="rId13"/>
    <sheet name="OUT" sheetId="13" r:id="rId14"/>
    <sheet name="NOV" sheetId="10" r:id="rId15"/>
    <sheet name="DEZ" sheetId="11" r:id="rId16"/>
  </sheets>
  <functionGroups builtInGroupCount="19"/>
  <definedNames>
    <definedName name="_xlnm._FilterDatabase" localSheetId="4" hidden="1">JAN!$H$1:$P$74</definedName>
    <definedName name="_xleta.SUMIFS" hidden="1" xlm="1">#NAME?</definedName>
    <definedName name="_xleta.TODAY" hidden="1" xlm="1">#NAME?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1" l="1"/>
  <c r="F1" i="11" s="1"/>
  <c r="A2" i="11"/>
  <c r="C2" i="10"/>
  <c r="A2" i="10"/>
  <c r="C2" i="13"/>
  <c r="F1" i="13" s="1"/>
  <c r="A2" i="13"/>
  <c r="C2" i="9"/>
  <c r="A2" i="9"/>
  <c r="C2" i="8"/>
  <c r="A2" i="8"/>
  <c r="F1" i="8"/>
  <c r="C2" i="7"/>
  <c r="F1" i="7" s="1"/>
  <c r="A2" i="7"/>
  <c r="C2" i="6"/>
  <c r="F1" i="6" s="1"/>
  <c r="A2" i="6"/>
  <c r="C2" i="5"/>
  <c r="A2" i="5"/>
  <c r="C2" i="4"/>
  <c r="A2" i="4"/>
  <c r="C2" i="3"/>
  <c r="F1" i="3" s="1"/>
  <c r="A2" i="3"/>
  <c r="C2" i="2"/>
  <c r="F1" i="2" s="1"/>
  <c r="A2" i="2"/>
  <c r="C2" i="12"/>
  <c r="A2" i="12"/>
  <c r="S5" i="15"/>
  <c r="S7" i="15"/>
  <c r="Q5" i="15"/>
  <c r="Q7" i="15" s="1"/>
  <c r="F1" i="10" l="1"/>
  <c r="F1" i="9"/>
  <c r="F1" i="5"/>
  <c r="F1" i="4"/>
  <c r="F1" i="12"/>
  <c r="M3" i="15" s="1"/>
  <c r="G3" i="16"/>
  <c r="O5" i="15"/>
  <c r="O8" i="15"/>
  <c r="O7" i="15"/>
  <c r="O6" i="15"/>
  <c r="O4" i="15"/>
  <c r="O3" i="15"/>
  <c r="M8" i="15"/>
  <c r="M7" i="15"/>
  <c r="M6" i="15"/>
  <c r="M5" i="15"/>
  <c r="M4" i="15"/>
  <c r="H3" i="16"/>
  <c r="I3" i="16"/>
  <c r="J3" i="16"/>
  <c r="N3" i="16"/>
  <c r="M3" i="16"/>
  <c r="K3" i="16"/>
  <c r="L3" i="16"/>
  <c r="O3" i="16"/>
  <c r="P3" i="16"/>
  <c r="H8" i="16" l="1"/>
  <c r="Q8" i="15"/>
  <c r="G10" i="16"/>
  <c r="G6" i="16"/>
  <c r="J6" i="16"/>
  <c r="I6" i="16"/>
  <c r="P6" i="16"/>
  <c r="N6" i="16"/>
  <c r="H6" i="16"/>
  <c r="H10" i="16"/>
  <c r="K6" i="16"/>
  <c r="O6" i="16"/>
  <c r="M6" i="16"/>
  <c r="L6" i="16"/>
  <c r="J8" i="16" l="1"/>
  <c r="S8" i="15"/>
  <c r="Q3" i="15"/>
  <c r="G8" i="16"/>
</calcChain>
</file>

<file path=xl/sharedStrings.xml><?xml version="1.0" encoding="utf-8"?>
<sst xmlns="http://schemas.openxmlformats.org/spreadsheetml/2006/main" count="458" uniqueCount="139">
  <si>
    <t>Custo Mensal</t>
  </si>
  <si>
    <t>Entrada Mensal</t>
  </si>
  <si>
    <t>IPVA</t>
  </si>
  <si>
    <t>Salário</t>
  </si>
  <si>
    <t>FR Extra</t>
  </si>
  <si>
    <t>Tipos de Saída</t>
  </si>
  <si>
    <t>Descrição</t>
  </si>
  <si>
    <t>Mês</t>
  </si>
  <si>
    <t>Categoria</t>
  </si>
  <si>
    <t>AGUA</t>
  </si>
  <si>
    <t>CELULAR</t>
  </si>
  <si>
    <t>ALUGUEL</t>
  </si>
  <si>
    <t>GAS</t>
  </si>
  <si>
    <t>INTERNET</t>
  </si>
  <si>
    <t>IPTU</t>
  </si>
  <si>
    <t>LUZ</t>
  </si>
  <si>
    <t>MORADIA</t>
  </si>
  <si>
    <t>SUPERMERCADO</t>
  </si>
  <si>
    <t>SACOLÃO</t>
  </si>
  <si>
    <t>PADARIA</t>
  </si>
  <si>
    <t>FARMACIA</t>
  </si>
  <si>
    <t>DESPESA HOSPITALAR MÃE</t>
  </si>
  <si>
    <t>DENTISTA</t>
  </si>
  <si>
    <t>LAZER</t>
  </si>
  <si>
    <t>PLANO DE SAÚDE</t>
  </si>
  <si>
    <t>OUTROS</t>
  </si>
  <si>
    <t>ALIMENTAÇÃO</t>
  </si>
  <si>
    <t>COMBUSTIVEL</t>
  </si>
  <si>
    <t>DPVAT (SEG OBRIG)</t>
  </si>
  <si>
    <t>LICENCIAMENTO</t>
  </si>
  <si>
    <t>MAO DE OBRA</t>
  </si>
  <si>
    <t>PEÇAS</t>
  </si>
  <si>
    <t>MULTA</t>
  </si>
  <si>
    <t>SEGURO</t>
  </si>
  <si>
    <t>ESTACIONAMENTO, PEDAGIO</t>
  </si>
  <si>
    <t>ONIBUS, TAXI, CARRO ALUGADO</t>
  </si>
  <si>
    <t>RENOVAÇÃO CNH</t>
  </si>
  <si>
    <t>TRANSPORTE</t>
  </si>
  <si>
    <t>EDUCAÇÃO</t>
  </si>
  <si>
    <t>DIVIDAS ATRASADAS</t>
  </si>
  <si>
    <t>PETS</t>
  </si>
  <si>
    <t>VESTUARIO</t>
  </si>
  <si>
    <t>JUROS</t>
  </si>
  <si>
    <t>DIVERSOS</t>
  </si>
  <si>
    <t>Restituição IR</t>
  </si>
  <si>
    <t>FII</t>
  </si>
  <si>
    <t>Ações</t>
  </si>
  <si>
    <t>Valores</t>
  </si>
  <si>
    <t>Saldo Mensal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</si>
  <si>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</si>
  <si>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</si>
  <si>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</si>
  <si>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</si>
  <si>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</si>
  <si>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</si>
  <si>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</si>
  <si>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</si>
  <si>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</si>
  <si>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</si>
  <si>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</si>
  <si>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</si>
  <si>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Mes</t>
  </si>
  <si>
    <t xml:space="preserve"> </t>
  </si>
  <si>
    <t>ANUAL</t>
  </si>
  <si>
    <t>Soma Saídas</t>
  </si>
  <si>
    <t>Soma Entradas</t>
  </si>
  <si>
    <t>Tabela de Informações Saídas</t>
  </si>
  <si>
    <t>Tabela de Informações Entradas</t>
  </si>
  <si>
    <t>SALÁRIO</t>
  </si>
  <si>
    <t>EXTRA</t>
  </si>
  <si>
    <t>REST IR</t>
  </si>
  <si>
    <t>INVESTIMENTO</t>
  </si>
  <si>
    <t>Dízimo</t>
  </si>
  <si>
    <t>IR</t>
  </si>
  <si>
    <t>IMPOSTOS</t>
  </si>
  <si>
    <t>RESTAURANTE</t>
  </si>
  <si>
    <t>CONTROLE FINANCEIRO</t>
  </si>
  <si>
    <t>Pagamentos</t>
  </si>
  <si>
    <t>Parcelas</t>
  </si>
  <si>
    <t>Totalizador Cartão de Crédito</t>
  </si>
  <si>
    <t>Material Escolar</t>
  </si>
  <si>
    <t>MensaLidade Escolar</t>
  </si>
  <si>
    <t>Crédito</t>
  </si>
  <si>
    <t>Valor:</t>
  </si>
  <si>
    <t>✅ Instruções de Uso – Plano Limpo 1.0</t>
  </si>
  <si>
    <t>💰 Para lançar uma receita ou despesa:</t>
  </si>
  <si>
    <r>
      <t xml:space="preserve">1. 📝 </t>
    </r>
    <r>
      <rPr>
        <b/>
        <sz val="11"/>
        <color theme="1"/>
        <rFont val="Aptos Narrow"/>
        <family val="2"/>
        <scheme val="minor"/>
      </rPr>
      <t>Digite o nome</t>
    </r>
    <r>
      <rPr>
        <sz val="11"/>
        <color theme="1"/>
        <rFont val="Aptos Narrow"/>
        <family val="2"/>
        <scheme val="minor"/>
      </rPr>
      <t xml:space="preserve"> da movimentação (exemplo: </t>
    </r>
    <r>
      <rPr>
        <sz val="10"/>
        <color theme="1"/>
        <rFont val="Arial Unicode MS"/>
      </rPr>
      <t>Mercado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Aluguel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Salário</t>
    </r>
    <r>
      <rPr>
        <sz val="11"/>
        <color theme="1"/>
        <rFont val="Aptos Narrow"/>
        <family val="2"/>
        <scheme val="minor"/>
      </rPr>
      <t>);</t>
    </r>
  </si>
  <si>
    <r>
      <t xml:space="preserve">2. 💵 </t>
    </r>
    <r>
      <rPr>
        <b/>
        <sz val="11"/>
        <color theme="1"/>
        <rFont val="Aptos Narrow"/>
        <family val="2"/>
        <scheme val="minor"/>
      </rPr>
      <t>Digite o valor</t>
    </r>
    <r>
      <rPr>
        <sz val="11"/>
        <color theme="1"/>
        <rFont val="Aptos Narrow"/>
        <family val="2"/>
        <scheme val="minor"/>
      </rPr>
      <t xml:space="preserve"> correspondente (somente o número, sem “R$”);</t>
    </r>
  </si>
  <si>
    <r>
      <t xml:space="preserve">3. 🗂️ </t>
    </r>
    <r>
      <rPr>
        <b/>
        <sz val="11"/>
        <color theme="1"/>
        <rFont val="Aptos Narrow"/>
        <family val="2"/>
        <scheme val="minor"/>
      </rPr>
      <t>Selecione a categoria</t>
    </r>
    <r>
      <rPr>
        <sz val="11"/>
        <color theme="1"/>
        <rFont val="Aptos Narrow"/>
        <family val="2"/>
        <scheme val="minor"/>
      </rPr>
      <t xml:space="preserve"> da movimentação (como </t>
    </r>
    <r>
      <rPr>
        <sz val="10"/>
        <color theme="1"/>
        <rFont val="Arial Unicode MS"/>
      </rPr>
      <t>Moradia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Alimentação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Lazer</t>
    </r>
    <r>
      <rPr>
        <sz val="11"/>
        <color theme="1"/>
        <rFont val="Aptos Narrow"/>
        <family val="2"/>
        <scheme val="minor"/>
      </rPr>
      <t>, etc.);</t>
    </r>
  </si>
  <si>
    <r>
      <t>“Saída”</t>
    </r>
    <r>
      <rPr>
        <sz val="11"/>
        <color theme="1"/>
        <rFont val="Aptos Narrow"/>
        <family val="2"/>
        <scheme val="minor"/>
      </rPr>
      <t xml:space="preserve"> se for uma </t>
    </r>
    <r>
      <rPr>
        <b/>
        <sz val="11"/>
        <color theme="1"/>
        <rFont val="Aptos Narrow"/>
        <family val="2"/>
        <scheme val="minor"/>
      </rPr>
      <t>despesa</t>
    </r>
    <r>
      <rPr>
        <sz val="11"/>
        <color theme="1"/>
        <rFont val="Aptos Narrow"/>
        <family val="2"/>
        <scheme val="minor"/>
      </rPr>
      <t>, ou</t>
    </r>
  </si>
  <si>
    <r>
      <t>“Entrada”</t>
    </r>
    <r>
      <rPr>
        <sz val="11"/>
        <color theme="1"/>
        <rFont val="Aptos Narrow"/>
        <family val="2"/>
        <scheme val="minor"/>
      </rPr>
      <t xml:space="preserve"> se for uma </t>
    </r>
    <r>
      <rPr>
        <b/>
        <sz val="11"/>
        <color theme="1"/>
        <rFont val="Aptos Narrow"/>
        <family val="2"/>
        <scheme val="minor"/>
      </rPr>
      <t>receita</t>
    </r>
    <r>
      <rPr>
        <sz val="11"/>
        <color theme="1"/>
        <rFont val="Aptos Narrow"/>
        <family val="2"/>
        <scheme val="minor"/>
      </rPr>
      <t>.</t>
    </r>
  </si>
  <si>
    <t>HABILITE AS MACROS</t>
  </si>
  <si>
    <t>Forma</t>
  </si>
  <si>
    <t>Dinheiro</t>
  </si>
  <si>
    <t>Pix</t>
  </si>
  <si>
    <t>Débito</t>
  </si>
  <si>
    <t>Parcelado</t>
  </si>
  <si>
    <t>DOAÇÕES</t>
  </si>
  <si>
    <t>DÍZIMO</t>
  </si>
  <si>
    <t>OFERTAS</t>
  </si>
  <si>
    <t>DOAÇÃO</t>
  </si>
  <si>
    <t>Ticket</t>
  </si>
  <si>
    <t>SAÚDE</t>
  </si>
  <si>
    <t>Nome da Dívida</t>
  </si>
  <si>
    <t>Credor</t>
  </si>
  <si>
    <t>Data de Vencimento</t>
  </si>
  <si>
    <t>Prioridade</t>
  </si>
  <si>
    <t>RUMO CERTO A SUA VIRADA DE VIDA!</t>
  </si>
  <si>
    <t>PAGAMENTO DÍVIDA</t>
  </si>
  <si>
    <t>Boleto</t>
  </si>
  <si>
    <t>POUPANÇA</t>
  </si>
  <si>
    <t>BOLSA</t>
  </si>
  <si>
    <t>TERCEIROS</t>
  </si>
  <si>
    <t>RECEBIMENTOS DIVERSOS</t>
  </si>
  <si>
    <t>Instruções para Uso da Planilha Rumo Certo</t>
  </si>
  <si>
    <t>No botão DIVIDAS você cadastra todas as dívidas que tem, sejam dívidas controladas ou descontroladas</t>
  </si>
  <si>
    <t>No botão CONTROLE FINANCEIRO você realiza seus lançamentos diários para exergar onde está o seu dinheiro.</t>
  </si>
  <si>
    <t>Totalizador Dívidas</t>
  </si>
  <si>
    <t>Metas</t>
  </si>
  <si>
    <t xml:space="preserve">Valor </t>
  </si>
  <si>
    <t>Cartão de Crédito</t>
  </si>
  <si>
    <t>Realizado:</t>
  </si>
  <si>
    <t>PG DÍVIDA</t>
  </si>
  <si>
    <t>Data:</t>
  </si>
  <si>
    <t>Redução:</t>
  </si>
  <si>
    <t xml:space="preserve">4. Selecione a forma de Pagamento </t>
  </si>
  <si>
    <t>5. Selecione as parcelas caso necessario</t>
  </si>
  <si>
    <r>
      <t xml:space="preserve">6. 📅 </t>
    </r>
    <r>
      <rPr>
        <b/>
        <sz val="11"/>
        <color theme="1"/>
        <rFont val="Aptos Narrow"/>
        <family val="2"/>
        <scheme val="minor"/>
      </rPr>
      <t>Escolha o mês</t>
    </r>
    <r>
      <rPr>
        <sz val="11"/>
        <color theme="1"/>
        <rFont val="Aptos Narrow"/>
        <family val="2"/>
        <scheme val="minor"/>
      </rPr>
      <t xml:space="preserve"> em que ocorreu o lançamento;</t>
    </r>
  </si>
  <si>
    <r>
      <t xml:space="preserve">7. 👇 </t>
    </r>
    <r>
      <rPr>
        <b/>
        <sz val="11"/>
        <color theme="1"/>
        <rFont val="Aptos Narrow"/>
        <family val="2"/>
        <scheme val="minor"/>
      </rPr>
      <t>Clique em</t>
    </r>
    <r>
      <rPr>
        <sz val="11"/>
        <color theme="1"/>
        <rFont val="Aptos Narrow"/>
        <family val="2"/>
        <scheme val="minor"/>
      </rPr>
      <t>:</t>
    </r>
  </si>
  <si>
    <t>Entrada</t>
  </si>
  <si>
    <t>Nº Parcelas</t>
  </si>
  <si>
    <t>Categoria Saída</t>
  </si>
  <si>
    <t>Categoria Entrada</t>
  </si>
  <si>
    <t>INSUMOS</t>
  </si>
  <si>
    <t>MATERIAL BOLO</t>
  </si>
  <si>
    <t>Caixa</t>
  </si>
  <si>
    <t>Empresarial</t>
  </si>
  <si>
    <t>Pessoal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</si>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</sst>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R$&quot;\ #,##0.00;\-&quot;R$&quot;\ #,##0.00"/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</numFmts>
  <fonts count="1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Calibri"/>
      <family val="2"/>
    </font>
    <font>
      <b/>
      <sz val="11"/>
      <color rgb="FF980000"/>
      <name val="Calibri"/>
      <family val="2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36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3"/>
      <name val="Aptos Narrow"/>
      <family val="2"/>
      <scheme val="minor"/>
    </font>
    <font>
      <b/>
      <sz val="13.5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0"/>
      <color theme="1"/>
      <name val="Arial Unicode MS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B3642"/>
        <bgColor indexed="64"/>
      </patternFill>
    </fill>
    <fill>
      <patternFill patternType="solid">
        <fgColor rgb="FF356854"/>
        <bgColor indexed="64"/>
      </patternFill>
    </fill>
    <fill>
      <patternFill patternType="solid">
        <fgColor theme="4"/>
        <bgColor indexed="64"/>
      </patternFill>
    </fill>
  </fills>
  <borders count="37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theme="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theme="4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theme="4"/>
      </right>
      <top style="thin">
        <color rgb="FF000000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medium">
        <color rgb="FF742932"/>
      </left>
      <right style="medium">
        <color rgb="FF9B3642"/>
      </right>
      <top style="medium">
        <color rgb="FF742932"/>
      </top>
      <bottom style="medium">
        <color rgb="FF742932"/>
      </bottom>
      <diagonal/>
    </border>
    <border>
      <left style="medium">
        <color rgb="FFCCCCCC"/>
      </left>
      <right style="medium">
        <color rgb="FF9B3642"/>
      </right>
      <top style="medium">
        <color rgb="FF742932"/>
      </top>
      <bottom style="medium">
        <color rgb="FF742932"/>
      </bottom>
      <diagonal/>
    </border>
    <border>
      <left style="medium">
        <color rgb="FFCCCCCC"/>
      </left>
      <right style="medium">
        <color rgb="FF742932"/>
      </right>
      <top style="medium">
        <color rgb="FF742932"/>
      </top>
      <bottom style="medium">
        <color rgb="FF742932"/>
      </bottom>
      <diagonal/>
    </border>
    <border>
      <left style="medium">
        <color rgb="FFCCCCCC"/>
      </left>
      <right style="medium">
        <color rgb="FF356854"/>
      </right>
      <top style="medium">
        <color rgb="FF284E3F"/>
      </top>
      <bottom style="medium">
        <color rgb="FF284E3F"/>
      </bottom>
      <diagonal/>
    </border>
    <border>
      <left style="medium">
        <color rgb="FFCCCCCC"/>
      </left>
      <right style="medium">
        <color rgb="FF284E3F"/>
      </right>
      <top style="medium">
        <color rgb="FF284E3F"/>
      </top>
      <bottom style="medium">
        <color rgb="FF284E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07">
    <xf numFmtId="0" fontId="0" fillId="0" borderId="0" xfId="0"/>
    <xf numFmtId="44" fontId="0" fillId="0" borderId="0" xfId="1" applyFont="1"/>
    <xf numFmtId="44" fontId="0" fillId="0" borderId="0" xfId="0" applyNumberFormat="1"/>
    <xf numFmtId="16" fontId="0" fillId="0" borderId="0" xfId="0" applyNumberFormat="1"/>
    <xf numFmtId="2" fontId="0" fillId="0" borderId="0" xfId="0" applyNumberFormat="1"/>
    <xf numFmtId="0" fontId="3" fillId="0" borderId="0" xfId="0" applyFont="1"/>
    <xf numFmtId="9" fontId="3" fillId="0" borderId="0" xfId="0" applyNumberFormat="1" applyFont="1"/>
    <xf numFmtId="10" fontId="3" fillId="0" borderId="0" xfId="0" applyNumberFormat="1" applyFont="1"/>
    <xf numFmtId="0" fontId="4" fillId="4" borderId="1" xfId="0" applyFont="1" applyFill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vertical="center"/>
    </xf>
    <xf numFmtId="0" fontId="5" fillId="4" borderId="2" xfId="0" applyFont="1" applyFill="1" applyBorder="1" applyAlignment="1">
      <alignment horizontal="left" vertical="center"/>
    </xf>
    <xf numFmtId="0" fontId="6" fillId="5" borderId="0" xfId="0" applyFont="1" applyFill="1"/>
    <xf numFmtId="14" fontId="0" fillId="0" borderId="0" xfId="0" applyNumberFormat="1"/>
    <xf numFmtId="44" fontId="9" fillId="0" borderId="0" xfId="1" applyFont="1"/>
    <xf numFmtId="44" fontId="10" fillId="0" borderId="0" xfId="0" applyNumberFormat="1" applyFont="1"/>
    <xf numFmtId="0" fontId="0" fillId="0" borderId="4" xfId="0" applyBorder="1"/>
    <xf numFmtId="0" fontId="6" fillId="3" borderId="0" xfId="0" applyFont="1" applyFill="1"/>
    <xf numFmtId="0" fontId="5" fillId="4" borderId="17" xfId="0" applyFont="1" applyFill="1" applyBorder="1" applyAlignment="1">
      <alignment horizontal="left" vertical="center"/>
    </xf>
    <xf numFmtId="0" fontId="5" fillId="4" borderId="18" xfId="0" applyFont="1" applyFill="1" applyBorder="1" applyAlignment="1">
      <alignment horizontal="left" vertical="center"/>
    </xf>
    <xf numFmtId="7" fontId="0" fillId="0" borderId="0" xfId="1" applyNumberFormat="1" applyFont="1"/>
    <xf numFmtId="7" fontId="9" fillId="0" borderId="0" xfId="1" applyNumberFormat="1" applyFont="1"/>
    <xf numFmtId="0" fontId="6" fillId="6" borderId="0" xfId="0" applyFont="1" applyFill="1"/>
    <xf numFmtId="13" fontId="0" fillId="0" borderId="0" xfId="0" applyNumberFormat="1"/>
    <xf numFmtId="44" fontId="0" fillId="0" borderId="4" xfId="1" applyFont="1" applyBorder="1"/>
    <xf numFmtId="44" fontId="10" fillId="0" borderId="4" xfId="0" applyNumberFormat="1" applyFont="1" applyBorder="1"/>
    <xf numFmtId="0" fontId="5" fillId="4" borderId="4" xfId="0" applyFont="1" applyFill="1" applyBorder="1" applyAlignment="1">
      <alignment horizontal="left" vertical="center"/>
    </xf>
    <xf numFmtId="14" fontId="0" fillId="0" borderId="0" xfId="1" applyNumberFormat="1" applyFont="1"/>
    <xf numFmtId="0" fontId="6" fillId="7" borderId="7" xfId="0" applyFont="1" applyFill="1" applyBorder="1"/>
    <xf numFmtId="0" fontId="6" fillId="7" borderId="19" xfId="0" applyFont="1" applyFill="1" applyBorder="1"/>
    <xf numFmtId="0" fontId="14" fillId="0" borderId="0" xfId="0" applyFont="1"/>
    <xf numFmtId="164" fontId="0" fillId="0" borderId="0" xfId="2" applyNumberFormat="1" applyFont="1"/>
    <xf numFmtId="0" fontId="5" fillId="4" borderId="22" xfId="0" applyFont="1" applyFill="1" applyBorder="1" applyAlignment="1">
      <alignment horizontal="left" vertical="center"/>
    </xf>
    <xf numFmtId="0" fontId="7" fillId="7" borderId="0" xfId="0" applyFont="1" applyFill="1"/>
    <xf numFmtId="0" fontId="3" fillId="9" borderId="8" xfId="0" applyFont="1" applyFill="1" applyBorder="1"/>
    <xf numFmtId="0" fontId="0" fillId="9" borderId="8" xfId="0" applyFill="1" applyBorder="1"/>
    <xf numFmtId="44" fontId="0" fillId="9" borderId="0" xfId="1" applyFont="1" applyFill="1" applyBorder="1" applyAlignment="1"/>
    <xf numFmtId="0" fontId="0" fillId="9" borderId="0" xfId="0" applyFill="1"/>
    <xf numFmtId="8" fontId="0" fillId="9" borderId="3" xfId="0" applyNumberFormat="1" applyFill="1" applyBorder="1"/>
    <xf numFmtId="0" fontId="0" fillId="9" borderId="10" xfId="0" applyFill="1" applyBorder="1"/>
    <xf numFmtId="8" fontId="0" fillId="9" borderId="5" xfId="0" applyNumberFormat="1" applyFill="1" applyBorder="1"/>
    <xf numFmtId="14" fontId="0" fillId="9" borderId="10" xfId="0" applyNumberFormat="1" applyFill="1" applyBorder="1"/>
    <xf numFmtId="0" fontId="0" fillId="9" borderId="20" xfId="0" applyFill="1" applyBorder="1"/>
    <xf numFmtId="0" fontId="0" fillId="9" borderId="21" xfId="0" applyFill="1" applyBorder="1"/>
    <xf numFmtId="14" fontId="0" fillId="9" borderId="16" xfId="0" applyNumberFormat="1" applyFill="1" applyBorder="1"/>
    <xf numFmtId="0" fontId="0" fillId="9" borderId="15" xfId="0" applyFill="1" applyBorder="1"/>
    <xf numFmtId="0" fontId="0" fillId="9" borderId="16" xfId="0" applyFill="1" applyBorder="1"/>
    <xf numFmtId="0" fontId="14" fillId="9" borderId="9" xfId="0" applyFont="1" applyFill="1" applyBorder="1"/>
    <xf numFmtId="0" fontId="14" fillId="9" borderId="8" xfId="0" applyFont="1" applyFill="1" applyBorder="1"/>
    <xf numFmtId="0" fontId="14" fillId="9" borderId="3" xfId="0" applyFont="1" applyFill="1" applyBorder="1"/>
    <xf numFmtId="0" fontId="14" fillId="9" borderId="5" xfId="0" applyFont="1" applyFill="1" applyBorder="1"/>
    <xf numFmtId="44" fontId="14" fillId="9" borderId="5" xfId="1" applyFont="1" applyFill="1" applyBorder="1" applyAlignment="1">
      <alignment horizontal="center"/>
    </xf>
    <xf numFmtId="0" fontId="14" fillId="9" borderId="6" xfId="0" applyFont="1" applyFill="1" applyBorder="1"/>
    <xf numFmtId="0" fontId="6" fillId="10" borderId="23" xfId="0" applyFont="1" applyFill="1" applyBorder="1"/>
    <xf numFmtId="0" fontId="0" fillId="0" borderId="23" xfId="0" applyBorder="1"/>
    <xf numFmtId="44" fontId="0" fillId="9" borderId="0" xfId="1" applyFont="1" applyFill="1" applyBorder="1" applyAlignment="1">
      <alignment horizontal="center"/>
    </xf>
    <xf numFmtId="14" fontId="3" fillId="0" borderId="0" xfId="0" applyNumberFormat="1" applyFont="1"/>
    <xf numFmtId="0" fontId="16" fillId="11" borderId="24" xfId="0" applyFont="1" applyFill="1" applyBorder="1" applyAlignment="1">
      <alignment vertical="center" wrapText="1"/>
    </xf>
    <xf numFmtId="0" fontId="16" fillId="11" borderId="25" xfId="0" applyFont="1" applyFill="1" applyBorder="1" applyAlignment="1">
      <alignment vertical="center" wrapText="1"/>
    </xf>
    <xf numFmtId="0" fontId="17" fillId="11" borderId="25" xfId="0" applyFont="1" applyFill="1" applyBorder="1" applyAlignment="1">
      <alignment vertical="center" wrapText="1"/>
    </xf>
    <xf numFmtId="0" fontId="16" fillId="11" borderId="26" xfId="0" applyFont="1" applyFill="1" applyBorder="1" applyAlignment="1">
      <alignment vertical="center" wrapText="1"/>
    </xf>
    <xf numFmtId="0" fontId="16" fillId="12" borderId="27" xfId="0" applyFont="1" applyFill="1" applyBorder="1" applyAlignment="1">
      <alignment vertical="center" wrapText="1"/>
    </xf>
    <xf numFmtId="0" fontId="17" fillId="12" borderId="27" xfId="0" applyFont="1" applyFill="1" applyBorder="1" applyAlignment="1">
      <alignment vertical="center" wrapText="1"/>
    </xf>
    <xf numFmtId="0" fontId="16" fillId="12" borderId="28" xfId="0" applyFont="1" applyFill="1" applyBorder="1" applyAlignment="1">
      <alignment vertical="center" wrapText="1"/>
    </xf>
    <xf numFmtId="44" fontId="16" fillId="12" borderId="27" xfId="1" applyFont="1" applyFill="1" applyBorder="1" applyAlignment="1">
      <alignment vertical="center" wrapText="1"/>
    </xf>
    <xf numFmtId="0" fontId="14" fillId="9" borderId="29" xfId="0" applyFont="1" applyFill="1" applyBorder="1"/>
    <xf numFmtId="0" fontId="14" fillId="9" borderId="30" xfId="0" applyFont="1" applyFill="1" applyBorder="1"/>
    <xf numFmtId="44" fontId="0" fillId="9" borderId="8" xfId="1" applyFont="1" applyFill="1" applyBorder="1" applyAlignment="1"/>
    <xf numFmtId="0" fontId="14" fillId="9" borderId="0" xfId="0" applyFont="1" applyFill="1"/>
    <xf numFmtId="0" fontId="3" fillId="9" borderId="0" xfId="0" applyFont="1" applyFill="1"/>
    <xf numFmtId="0" fontId="14" fillId="9" borderId="31" xfId="0" applyFont="1" applyFill="1" applyBorder="1"/>
    <xf numFmtId="8" fontId="0" fillId="9" borderId="32" xfId="0" applyNumberFormat="1" applyFill="1" applyBorder="1"/>
    <xf numFmtId="0" fontId="14" fillId="9" borderId="33" xfId="0" applyFont="1" applyFill="1" applyBorder="1"/>
    <xf numFmtId="8" fontId="0" fillId="9" borderId="34" xfId="0" applyNumberFormat="1" applyFill="1" applyBorder="1"/>
    <xf numFmtId="0" fontId="14" fillId="9" borderId="11" xfId="0" applyFont="1" applyFill="1" applyBorder="1"/>
    <xf numFmtId="8" fontId="0" fillId="9" borderId="12" xfId="0" applyNumberFormat="1" applyFill="1" applyBorder="1"/>
    <xf numFmtId="0" fontId="14" fillId="9" borderId="35" xfId="0" applyFont="1" applyFill="1" applyBorder="1"/>
    <xf numFmtId="8" fontId="0" fillId="9" borderId="36" xfId="0" applyNumberFormat="1" applyFill="1" applyBorder="1"/>
    <xf numFmtId="0" fontId="11" fillId="9" borderId="0" xfId="0" applyFont="1" applyFill="1" applyAlignment="1">
      <alignment vertical="center"/>
    </xf>
    <xf numFmtId="0" fontId="7" fillId="9" borderId="0" xfId="0" applyFont="1" applyFill="1"/>
    <xf numFmtId="0" fontId="12" fillId="9" borderId="0" xfId="0" applyFont="1" applyFill="1" applyAlignment="1">
      <alignment vertical="center"/>
    </xf>
    <xf numFmtId="0" fontId="0" fillId="9" borderId="0" xfId="0" applyFill="1" applyAlignment="1">
      <alignment horizontal="left" vertical="center" indent="1"/>
    </xf>
    <xf numFmtId="0" fontId="7" fillId="9" borderId="0" xfId="0" applyFont="1" applyFill="1" applyAlignment="1">
      <alignment horizontal="left" vertical="center" indent="2"/>
    </xf>
    <xf numFmtId="0" fontId="6" fillId="8" borderId="0" xfId="0" applyFont="1" applyFill="1" applyAlignment="1">
      <alignment horizontal="center"/>
    </xf>
    <xf numFmtId="0" fontId="15" fillId="9" borderId="12" xfId="0" applyFont="1" applyFill="1" applyBorder="1" applyAlignment="1">
      <alignment horizontal="center"/>
    </xf>
    <xf numFmtId="0" fontId="15" fillId="9" borderId="13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9" borderId="10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44" fontId="0" fillId="9" borderId="0" xfId="1" applyFont="1" applyFill="1" applyBorder="1" applyAlignment="1">
      <alignment horizontal="center"/>
    </xf>
    <xf numFmtId="0" fontId="15" fillId="9" borderId="14" xfId="0" applyFont="1" applyFill="1" applyBorder="1" applyAlignment="1">
      <alignment horizontal="center"/>
    </xf>
    <xf numFmtId="0" fontId="15" fillId="9" borderId="15" xfId="0" applyFont="1" applyFill="1" applyBorder="1" applyAlignment="1">
      <alignment horizontal="center"/>
    </xf>
    <xf numFmtId="0" fontId="15" fillId="9" borderId="16" xfId="0" applyFont="1" applyFill="1" applyBorder="1" applyAlignment="1">
      <alignment horizontal="center"/>
    </xf>
    <xf numFmtId="0" fontId="8" fillId="13" borderId="14" xfId="0" applyFont="1" applyFill="1" applyBorder="1" applyAlignment="1">
      <alignment horizontal="center"/>
    </xf>
    <xf numFmtId="0" fontId="8" fillId="13" borderId="15" xfId="0" applyFont="1" applyFill="1" applyBorder="1" applyAlignment="1">
      <alignment horizontal="center"/>
    </xf>
    <xf numFmtId="0" fontId="8" fillId="13" borderId="16" xfId="0" applyFont="1" applyFill="1" applyBorder="1" applyAlignment="1">
      <alignment horizontal="center"/>
    </xf>
    <xf numFmtId="44" fontId="6" fillId="2" borderId="0" xfId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  <xf numFmtId="44" fontId="0" fillId="2" borderId="0" xfId="1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3">
    <cellStyle name="Moeda" xfId="1" builtinId="4"/>
    <cellStyle name="Normal" xfId="0" builtinId="0"/>
    <cellStyle name="Vírgula" xfId="2" builtinId="3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980000"/>
        <name val="Calibri"/>
        <family val="2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theme="0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bottom style="thin">
          <color rgb="FF000000"/>
        </bottom>
      </border>
    </dxf>
    <dxf>
      <numFmt numFmtId="164" formatCode="_-* #,##0_-;\-* #,##0_-;_-* &quot;-&quot;??_-;_-@_-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Gasto Mensal Por Categoria</a:t>
            </a:r>
          </a:p>
        </c:rich>
      </c:tx>
      <c:layout>
        <c:manualLayout>
          <c:xMode val="edge"/>
          <c:yMode val="edge"/>
          <c:x val="8.5159249072465623E-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DC8-46C5-9FB4-437A28CBFC8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170-4F4B-B148-6ACDAD653BC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170-4F4B-B148-6ACDAD653BC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170-4F4B-B148-6ACDAD653BC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170-4F4B-B148-6ACDAD653BC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170-4F4B-B148-6ACDAD653BC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32A-41FF-9DEA-CEC10D5E3A8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32A-41FF-9DEA-CEC10D5E3A8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Auxiliares'!$H$2:$O$2</c:f>
              <c:strCache>
                <c:ptCount val="8"/>
                <c:pt idx="0">
                  <c:v>EDUCAÇÃO</c:v>
                </c:pt>
                <c:pt idx="1">
                  <c:v>MORADIA</c:v>
                </c:pt>
                <c:pt idx="2">
                  <c:v>ALIMENTAÇÃO</c:v>
                </c:pt>
                <c:pt idx="3">
                  <c:v>SAÚDE</c:v>
                </c:pt>
                <c:pt idx="4">
                  <c:v>TRANSPORTE</c:v>
                </c:pt>
                <c:pt idx="5">
                  <c:v>IMPOSTOS</c:v>
                </c:pt>
                <c:pt idx="6">
                  <c:v>INSUMOS</c:v>
                </c:pt>
                <c:pt idx="7">
                  <c:v>PG DÍVIDA</c:v>
                </c:pt>
              </c:strCache>
            </c:strRef>
          </c:cat>
          <c:val>
            <c:numRef>
              <c:f>'Tabelas Auxiliares'!$H$3:$O$3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C2-4FCC-9BE4-EF2D85B52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Entrada Mensal</a:t>
            </a:r>
          </a:p>
          <a:p>
            <a:pPr>
              <a:defRPr/>
            </a:pPr>
            <a:endParaRPr lang="pt-BR"/>
          </a:p>
        </c:rich>
      </c:tx>
      <c:layout>
        <c:manualLayout>
          <c:xMode val="edge"/>
          <c:yMode val="edge"/>
          <c:x val="0.1509101901175885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0862905024432737"/>
          <c:y val="0.21176142637342746"/>
          <c:w val="0.54529407421825182"/>
          <c:h val="0.5923374161563137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2D9-435C-B456-D1A25CAC632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F69-4AFC-95DD-120E97EE33E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F69-4AFC-95DD-120E97EE33E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F69-4AFC-95DD-120E97EE33E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F69-4AFC-95DD-120E97EE33E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F69-4AFC-95DD-120E97EE33E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19E-4D4D-853F-2F49D0C020E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19E-4D4D-853F-2F49D0C020E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19E-4D4D-853F-2F49D0C020E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Auxiliares'!$H$5:$P$5</c:f>
              <c:strCache>
                <c:ptCount val="9"/>
                <c:pt idx="0">
                  <c:v>SALÁRIO</c:v>
                </c:pt>
                <c:pt idx="1">
                  <c:v>EXTRA</c:v>
                </c:pt>
                <c:pt idx="2">
                  <c:v>REST IR</c:v>
                </c:pt>
                <c:pt idx="3">
                  <c:v>INVESTIMENTO</c:v>
                </c:pt>
                <c:pt idx="4">
                  <c:v>DIVERSOS</c:v>
                </c:pt>
                <c:pt idx="5">
                  <c:v>PG DÍVIDA</c:v>
                </c:pt>
                <c:pt idx="6">
                  <c:v>INVESTIMENTO</c:v>
                </c:pt>
                <c:pt idx="7">
                  <c:v>TERCEIROS</c:v>
                </c:pt>
                <c:pt idx="8">
                  <c:v>OFERTAS</c:v>
                </c:pt>
              </c:strCache>
            </c:strRef>
          </c:cat>
          <c:val>
            <c:numRef>
              <c:f>'Tabelas Auxiliares'!$H$6:$P$6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D9-435C-B456-D1A25CAC6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Saída</a:t>
            </a:r>
            <a:r>
              <a:rPr lang="pt-BR" baseline="0"/>
              <a:t> </a:t>
            </a:r>
            <a:r>
              <a:rPr lang="pt-BR"/>
              <a:t>x Entrada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89D-4E20-AC69-08413B437ECC}"/>
              </c:ext>
            </c:extLst>
          </c:dPt>
          <c:cat>
            <c:strRef>
              <c:f>('Tabelas Auxiliares'!$H$7:$I$7,'Tabelas Auxiliares'!$J$7:$K$7)</c:f>
              <c:strCache>
                <c:ptCount val="3"/>
                <c:pt idx="0">
                  <c:v> Custo Mensal </c:v>
                </c:pt>
                <c:pt idx="2">
                  <c:v>Entrada Mensal</c:v>
                </c:pt>
              </c:strCache>
            </c:strRef>
          </c:cat>
          <c:val>
            <c:numRef>
              <c:f>('Tabelas Auxiliares'!$H$8:$I$8,'Tabelas Auxiliares'!$J$8:$K$8)</c:f>
              <c:numCache>
                <c:formatCode>_("R$"* #,##0.00_);_("R$"* \(#,##0.00\);_("R$"* "-"??_);_(@_)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9D-4E20-AC69-08413B437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20908655"/>
        <c:axId val="1520911535"/>
      </c:barChart>
      <c:catAx>
        <c:axId val="1520908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0911535"/>
        <c:crosses val="autoZero"/>
        <c:auto val="1"/>
        <c:lblAlgn val="ctr"/>
        <c:lblOffset val="100"/>
        <c:noMultiLvlLbl val="0"/>
      </c:catAx>
      <c:valAx>
        <c:axId val="15209115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09086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Redução das Dívidas</a:t>
            </a:r>
          </a:p>
        </c:rich>
      </c:tx>
      <c:layout>
        <c:manualLayout>
          <c:xMode val="edge"/>
          <c:yMode val="edge"/>
          <c:x val="0.19880263831138387"/>
          <c:y val="1.84066840902115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Registros!$Q$5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00-47E9-A127-EE1E32E9190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Registros!$Q$8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00-47E9-A127-EE1E32E9190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Registros!$S$8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00-47E9-A127-EE1E32E91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90978256"/>
        <c:axId val="1290978736"/>
      </c:barChart>
      <c:catAx>
        <c:axId val="12909782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0978736"/>
        <c:crosses val="autoZero"/>
        <c:auto val="1"/>
        <c:lblAlgn val="ctr"/>
        <c:lblOffset val="100"/>
        <c:noMultiLvlLbl val="0"/>
      </c:catAx>
      <c:valAx>
        <c:axId val="12909787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097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ontrole Financeiro'!A1"/><Relationship Id="rId1" Type="http://schemas.openxmlformats.org/officeDocument/2006/relationships/hyperlink" Target="#D&#237;vidas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</xdr:row>
      <xdr:rowOff>47625</xdr:rowOff>
    </xdr:from>
    <xdr:to>
      <xdr:col>2</xdr:col>
      <xdr:colOff>447675</xdr:colOff>
      <xdr:row>2</xdr:row>
      <xdr:rowOff>180975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0E7DD2C-6418-4724-A30F-47D6A7EB511D}"/>
            </a:ext>
          </a:extLst>
        </xdr:cNvPr>
        <xdr:cNvSpPr/>
      </xdr:nvSpPr>
      <xdr:spPr>
        <a:xfrm>
          <a:off x="47625" y="238125"/>
          <a:ext cx="1619250" cy="3238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aseline="0"/>
            <a:t>DÍVIDAS</a:t>
          </a:r>
        </a:p>
        <a:p>
          <a:pPr algn="l"/>
          <a:endParaRPr lang="pt-BR" sz="1100" baseline="0"/>
        </a:p>
        <a:p>
          <a:pPr algn="l"/>
          <a:endParaRPr lang="pt-BR" sz="1100" baseline="0"/>
        </a:p>
      </xdr:txBody>
    </xdr:sp>
    <xdr:clientData/>
  </xdr:twoCellAnchor>
  <xdr:twoCellAnchor>
    <xdr:from>
      <xdr:col>2</xdr:col>
      <xdr:colOff>504825</xdr:colOff>
      <xdr:row>1</xdr:row>
      <xdr:rowOff>47625</xdr:rowOff>
    </xdr:from>
    <xdr:to>
      <xdr:col>5</xdr:col>
      <xdr:colOff>285750</xdr:colOff>
      <xdr:row>2</xdr:row>
      <xdr:rowOff>180975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89B874D-6CF6-4967-ADB4-04951BB06A41}"/>
            </a:ext>
          </a:extLst>
        </xdr:cNvPr>
        <xdr:cNvSpPr/>
      </xdr:nvSpPr>
      <xdr:spPr>
        <a:xfrm>
          <a:off x="1724025" y="238125"/>
          <a:ext cx="1609725" cy="3238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CONTROLE FINANCEIRO</a:t>
          </a:r>
        </a:p>
        <a:p>
          <a:pPr algn="l"/>
          <a:endParaRPr lang="pt-BR" sz="1100"/>
        </a:p>
        <a:p>
          <a:pPr algn="l"/>
          <a:endParaRPr lang="pt-BR" sz="1100" baseline="0"/>
        </a:p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400050</xdr:colOff>
      <xdr:row>0</xdr:row>
      <xdr:rowOff>0</xdr:rowOff>
    </xdr:from>
    <xdr:to>
      <xdr:col>13</xdr:col>
      <xdr:colOff>295275</xdr:colOff>
      <xdr:row>1</xdr:row>
      <xdr:rowOff>171450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AADE00-B455-43CF-B57C-8356A35D03B8}"/>
            </a:ext>
          </a:extLst>
        </xdr:cNvPr>
        <xdr:cNvSpPr/>
      </xdr:nvSpPr>
      <xdr:spPr>
        <a:xfrm>
          <a:off x="10906125" y="0"/>
          <a:ext cx="1114425" cy="36195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Voltar ao Início</a:t>
          </a:r>
        </a:p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90489</xdr:colOff>
      <xdr:row>1</xdr:row>
      <xdr:rowOff>11906</xdr:rowOff>
    </xdr:from>
    <xdr:to>
      <xdr:col>9</xdr:col>
      <xdr:colOff>787791</xdr:colOff>
      <xdr:row>2</xdr:row>
      <xdr:rowOff>192880</xdr:rowOff>
    </xdr:to>
    <xdr:sp macro="[0]!InserirEntrada" textlink="">
      <xdr:nvSpPr>
        <xdr:cNvPr id="8" name="CaixaDeTexto 7">
          <a:extLst>
            <a:ext uri="{FF2B5EF4-FFF2-40B4-BE49-F238E27FC236}">
              <a16:creationId xmlns:a16="http://schemas.microsoft.com/office/drawing/2014/main" id="{9223CE34-F281-8217-6887-6DE896962FB1}"/>
            </a:ext>
          </a:extLst>
        </xdr:cNvPr>
        <xdr:cNvSpPr txBox="1"/>
      </xdr:nvSpPr>
      <xdr:spPr>
        <a:xfrm>
          <a:off x="2102645" y="571500"/>
          <a:ext cx="852084" cy="383380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 w="9525" cmpd="sng">
          <a:solidFill>
            <a:schemeClr val="accent1">
              <a:lumMod val="60000"/>
              <a:lumOff val="40000"/>
            </a:schemeClr>
          </a:solidFill>
        </a:ln>
        <a:effectLst>
          <a:innerShdw blurRad="63500" dist="50800" dir="189000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>
              <a:solidFill>
                <a:schemeClr val="bg1"/>
              </a:solidFill>
            </a:rPr>
            <a:t>ENTRADAS</a:t>
          </a:r>
        </a:p>
      </xdr:txBody>
    </xdr:sp>
    <xdr:clientData/>
  </xdr:twoCellAnchor>
  <xdr:twoCellAnchor>
    <xdr:from>
      <xdr:col>5</xdr:col>
      <xdr:colOff>95250</xdr:colOff>
      <xdr:row>3</xdr:row>
      <xdr:rowOff>23812</xdr:rowOff>
    </xdr:from>
    <xdr:to>
      <xdr:col>9</xdr:col>
      <xdr:colOff>797717</xdr:colOff>
      <xdr:row>6</xdr:row>
      <xdr:rowOff>35719</xdr:rowOff>
    </xdr:to>
    <xdr:sp macro="[0]!InserirSaida" textlink="">
      <xdr:nvSpPr>
        <xdr:cNvPr id="10" name="CaixaDeTexto 9">
          <a:extLst>
            <a:ext uri="{FF2B5EF4-FFF2-40B4-BE49-F238E27FC236}">
              <a16:creationId xmlns:a16="http://schemas.microsoft.com/office/drawing/2014/main" id="{51553362-CBEF-4D91-96B1-628A436A54CD}"/>
            </a:ext>
          </a:extLst>
        </xdr:cNvPr>
        <xdr:cNvSpPr txBox="1"/>
      </xdr:nvSpPr>
      <xdr:spPr>
        <a:xfrm>
          <a:off x="2107406" y="988218"/>
          <a:ext cx="857249" cy="392907"/>
        </a:xfrm>
        <a:prstGeom prst="rect">
          <a:avLst/>
        </a:prstGeom>
        <a:solidFill>
          <a:srgbClr val="FF0000"/>
        </a:solidFill>
        <a:ln w="9525" cmpd="sng">
          <a:solidFill>
            <a:srgbClr val="C00000"/>
          </a:solidFill>
        </a:ln>
        <a:effectLst>
          <a:innerShdw blurRad="63500" dist="50800" dir="189000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>
              <a:solidFill>
                <a:schemeClr val="bg1"/>
              </a:solidFill>
            </a:rPr>
            <a:t>SAÍDAS</a:t>
          </a:r>
        </a:p>
        <a:p>
          <a:pPr algn="ctr"/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123825</xdr:colOff>
      <xdr:row>8</xdr:row>
      <xdr:rowOff>128587</xdr:rowOff>
    </xdr:from>
    <xdr:to>
      <xdr:col>12</xdr:col>
      <xdr:colOff>762032</xdr:colOff>
      <xdr:row>28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C46983-4804-F9C1-4600-B668222DA7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878433</xdr:colOff>
      <xdr:row>8</xdr:row>
      <xdr:rowOff>117231</xdr:rowOff>
    </xdr:from>
    <xdr:to>
      <xdr:col>18</xdr:col>
      <xdr:colOff>1104900</xdr:colOff>
      <xdr:row>28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37ED904-094F-4B46-ACCB-0E6E1DA483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125016</xdr:colOff>
      <xdr:row>28</xdr:row>
      <xdr:rowOff>55957</xdr:rowOff>
    </xdr:from>
    <xdr:to>
      <xdr:col>12</xdr:col>
      <xdr:colOff>762000</xdr:colOff>
      <xdr:row>41</xdr:row>
      <xdr:rowOff>161925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438E73F-3E71-AA69-EB98-4BAD1D45B0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876301</xdr:colOff>
      <xdr:row>28</xdr:row>
      <xdr:rowOff>45243</xdr:rowOff>
    </xdr:from>
    <xdr:to>
      <xdr:col>18</xdr:col>
      <xdr:colOff>1114425</xdr:colOff>
      <xdr:row>41</xdr:row>
      <xdr:rowOff>180975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F18BDF0-275B-C8C8-FA60-4FA345A1A5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BDD78A-3D23-417E-A60C-18B1AD5A301E}" name="Tabela5" displayName="Tabela5" ref="B1:I25" totalsRowShown="0">
  <autoFilter ref="B1:I25" xr:uid="{B0BDD78A-3D23-417E-A60C-18B1AD5A301E}"/>
  <tableColumns count="8">
    <tableColumn id="1" xr3:uid="{7FF4DF66-6202-4F0C-9DF9-BDFF6BDA93CA}" name="Nome da Dívida"/>
    <tableColumn id="2" xr3:uid="{8F493B74-4A6C-4FB2-92DD-6699ECD95392}" name="Credor"/>
    <tableColumn id="3" xr3:uid="{1917F6B6-00E6-4CD6-95D8-A2A9741B6BA7}" name="Valor " dataCellStyle="Moeda"/>
    <tableColumn id="5" xr3:uid="{277F98E1-38A8-4FB3-96CB-C6EEE98988F2}" name="Data de Vencimento" dataDxfId="4"/>
    <tableColumn id="7" xr3:uid="{9ABB288B-61D0-4D46-A175-B9ECFAB94A58}" name="Prioridade"/>
    <tableColumn id="8" xr3:uid="{A87C544B-1092-4DFA-9A38-AF4E555CF094}" name="Entrada" dataCellStyle="Moeda"/>
    <tableColumn id="4" xr3:uid="{44B3689E-7C43-435E-A9C2-15F13D559C5D}" name="Parcelas" dataCellStyle="Moeda"/>
    <tableColumn id="6" xr3:uid="{60C173EB-0259-45A4-9191-F02148CDF9C6}" name="Nº Parcelas" dataDxfId="3" dataCellStyle="Vírgula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DB5C1B0-1073-4447-8284-AD0576AEC929}" name="Tabela2" displayName="Tabela2" ref="B1:C51" totalsRowShown="0" tableBorderDxfId="2">
  <autoFilter ref="B1:C51" xr:uid="{3DB5C1B0-1073-4447-8284-AD0576AEC929}"/>
  <tableColumns count="2">
    <tableColumn id="1" xr3:uid="{6488775C-E90A-497C-B2CC-586845C2606B}" name="Tipos de Saída" dataDxfId="1"/>
    <tableColumn id="2" xr3:uid="{14396584-4DEF-4416-988B-3BBE2F5A9D80}" name="Categoria" dataDxfId="0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19535CC-F91A-4832-B32C-7648BDB45310}" name="Tabela3" displayName="Tabela3" ref="E1:E13" totalsRowShown="0">
  <autoFilter ref="E1:E13" xr:uid="{E19535CC-F91A-4832-B32C-7648BDB45310}"/>
  <tableColumns count="1">
    <tableColumn id="1" xr3:uid="{77C9F2F0-B901-4260-8107-98F34193996A}" name="Mês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36AFBD-60D3-4E53-BB13-7205253B3B44}" name="Tabela1" displayName="Tabela1" ref="E15:E22" totalsRowShown="0">
  <autoFilter ref="E15:E22" xr:uid="{AF36AFBD-60D3-4E53-BB13-7205253B3B44}"/>
  <tableColumns count="1">
    <tableColumn id="1" xr3:uid="{1ABCCA28-E690-40D6-B32D-E82F1995E3C6}" name="Pagamento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25E6A-9165-4282-B5C9-B0B492118C8E}">
  <sheetPr codeName="Planilha15"/>
  <dimension ref="A1:K7"/>
  <sheetViews>
    <sheetView workbookViewId="0">
      <selection sqref="A1:K1"/>
    </sheetView>
  </sheetViews>
  <sheetFormatPr defaultRowHeight="15"/>
  <cols>
    <col min="11" max="11" width="8.28515625" customWidth="1"/>
  </cols>
  <sheetData>
    <row r="1" spans="1:11">
      <c r="A1" s="85" t="s">
        <v>107</v>
      </c>
      <c r="B1" s="85"/>
      <c r="C1" s="85"/>
      <c r="D1" s="85"/>
      <c r="E1" s="85"/>
      <c r="F1" s="85"/>
      <c r="G1" s="85"/>
      <c r="H1" s="85"/>
      <c r="I1" s="85"/>
      <c r="J1" s="85"/>
      <c r="K1" s="85"/>
    </row>
    <row r="5" spans="1:11">
      <c r="A5" t="s">
        <v>114</v>
      </c>
    </row>
    <row r="6" spans="1:11">
      <c r="A6" t="s">
        <v>115</v>
      </c>
    </row>
    <row r="7" spans="1:11">
      <c r="A7" t="s">
        <v>116</v>
      </c>
    </row>
  </sheetData>
  <mergeCells count="1">
    <mergeCell ref="A1:K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79D8D-339D-46EA-BCED-96C7193697FF}">
  <sheetPr codeName="Planilha16"/>
  <dimension ref="B1:I10"/>
  <sheetViews>
    <sheetView workbookViewId="0">
      <selection activeCell="D14" sqref="D14"/>
    </sheetView>
  </sheetViews>
  <sheetFormatPr defaultRowHeight="15"/>
  <cols>
    <col min="1" max="1" width="2.7109375" customWidth="1"/>
    <col min="2" max="2" width="17.5703125" bestFit="1" customWidth="1"/>
    <col min="3" max="3" width="15.28515625" bestFit="1" customWidth="1"/>
    <col min="4" max="4" width="17.5703125" style="1" bestFit="1" customWidth="1"/>
    <col min="5" max="5" width="21.7109375" style="15" bestFit="1" customWidth="1"/>
    <col min="6" max="6" width="21.7109375" bestFit="1" customWidth="1"/>
    <col min="7" max="7" width="15.140625" style="1" bestFit="1" customWidth="1"/>
    <col min="8" max="8" width="12.5703125" style="1" bestFit="1" customWidth="1"/>
    <col min="9" max="9" width="15" style="33" bestFit="1" customWidth="1"/>
  </cols>
  <sheetData>
    <row r="1" spans="2:9">
      <c r="B1" t="s">
        <v>103</v>
      </c>
      <c r="C1" t="s">
        <v>104</v>
      </c>
      <c r="D1" s="1" t="s">
        <v>119</v>
      </c>
      <c r="E1" s="15" t="s">
        <v>105</v>
      </c>
      <c r="F1" t="s">
        <v>106</v>
      </c>
      <c r="G1" s="1" t="s">
        <v>129</v>
      </c>
      <c r="H1" s="1" t="s">
        <v>78</v>
      </c>
      <c r="I1" s="33" t="s">
        <v>130</v>
      </c>
    </row>
    <row r="10" spans="2:9">
      <c r="B10" s="32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4B60-A2C7-4F3B-BCF2-342D93E5E65F}">
  <sheetPr codeName="Planilha1"/>
  <dimension ref="A1:AA42"/>
  <sheetViews>
    <sheetView tabSelected="1" zoomScaleNormal="100" workbookViewId="0">
      <selection activeCell="J7" sqref="J7"/>
    </sheetView>
  </sheetViews>
  <sheetFormatPr defaultRowHeight="15"/>
  <cols>
    <col min="1" max="1" width="9.85546875" style="39" bestFit="1" customWidth="1"/>
    <col min="2" max="2" width="1.28515625" style="39" customWidth="1"/>
    <col min="3" max="3" width="9.140625" style="39" hidden="1" customWidth="1"/>
    <col min="4" max="4" width="18.28515625" style="39" customWidth="1"/>
    <col min="5" max="5" width="0.85546875" style="39" customWidth="1"/>
    <col min="6" max="6" width="2.28515625" style="39" customWidth="1"/>
    <col min="7" max="8" width="9.140625" style="39" hidden="1" customWidth="1"/>
    <col min="9" max="9" width="0.85546875" style="39" hidden="1" customWidth="1"/>
    <col min="10" max="10" width="13.140625" style="39" customWidth="1"/>
    <col min="11" max="11" width="0.85546875" style="39" customWidth="1"/>
    <col min="12" max="12" width="9.140625" style="39"/>
    <col min="13" max="13" width="13.5703125" style="39" bestFit="1" customWidth="1"/>
    <col min="14" max="14" width="9.140625" style="39"/>
    <col min="15" max="15" width="11.42578125" style="39" bestFit="1" customWidth="1"/>
    <col min="16" max="16" width="10.28515625" style="39" bestFit="1" customWidth="1"/>
    <col min="17" max="18" width="9.140625" style="39"/>
    <col min="19" max="19" width="18.7109375" style="39" customWidth="1"/>
    <col min="20" max="16384" width="9.140625" style="39"/>
  </cols>
  <sheetData>
    <row r="1" spans="1:21" ht="44.25" customHeight="1" thickBot="1">
      <c r="A1" s="98" t="s">
        <v>76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100"/>
      <c r="T1" s="80" t="s">
        <v>84</v>
      </c>
    </row>
    <row r="2" spans="1:21" ht="15.75" thickBot="1">
      <c r="A2" s="67" t="s">
        <v>6</v>
      </c>
      <c r="B2" s="50"/>
      <c r="C2" s="50"/>
      <c r="D2" s="68"/>
      <c r="E2" s="36"/>
      <c r="F2" s="37"/>
      <c r="G2" s="37"/>
      <c r="H2" s="37"/>
      <c r="I2" s="37"/>
      <c r="J2" s="37"/>
      <c r="K2" s="69"/>
      <c r="L2" s="95" t="s">
        <v>48</v>
      </c>
      <c r="M2" s="96"/>
      <c r="N2" s="96"/>
      <c r="O2" s="97"/>
      <c r="P2" s="96" t="s">
        <v>79</v>
      </c>
      <c r="Q2" s="96"/>
      <c r="R2" s="96"/>
      <c r="S2" s="97"/>
      <c r="T2" s="81" t="s">
        <v>91</v>
      </c>
      <c r="U2" s="81"/>
    </row>
    <row r="3" spans="1:21" ht="15.75">
      <c r="A3" s="49" t="s">
        <v>47</v>
      </c>
      <c r="B3" s="70"/>
      <c r="C3" s="52"/>
      <c r="D3" s="53"/>
      <c r="E3" s="71"/>
      <c r="K3" s="94"/>
      <c r="L3" s="72" t="s">
        <v>49</v>
      </c>
      <c r="M3" s="40">
        <f>JAN!F1</f>
        <v>0</v>
      </c>
      <c r="N3" s="54" t="s">
        <v>55</v>
      </c>
      <c r="O3" s="73">
        <f>JUL!$F$1</f>
        <v>0</v>
      </c>
      <c r="P3" s="39" t="s">
        <v>83</v>
      </c>
      <c r="Q3" s="39">
        <f ca="1">'Tabelas Auxiliares'!H10</f>
        <v>0</v>
      </c>
      <c r="S3" s="41"/>
      <c r="T3" s="82" t="s">
        <v>85</v>
      </c>
    </row>
    <row r="4" spans="1:21" ht="15.75" thickBot="1">
      <c r="A4" s="49" t="s">
        <v>92</v>
      </c>
      <c r="B4" s="70"/>
      <c r="C4" s="70"/>
      <c r="D4" s="53"/>
      <c r="E4" s="71"/>
      <c r="K4" s="94"/>
      <c r="L4" s="74" t="s">
        <v>50</v>
      </c>
      <c r="M4" s="42">
        <f>FEV!F1</f>
        <v>0</v>
      </c>
      <c r="N4" s="54" t="s">
        <v>56</v>
      </c>
      <c r="O4" s="75">
        <f>AGO!$F$1</f>
        <v>0</v>
      </c>
      <c r="P4" s="86" t="s">
        <v>117</v>
      </c>
      <c r="Q4" s="86"/>
      <c r="R4" s="86"/>
      <c r="S4" s="87"/>
      <c r="T4" s="83"/>
    </row>
    <row r="5" spans="1:21">
      <c r="A5" s="49" t="s">
        <v>135</v>
      </c>
      <c r="B5" s="70"/>
      <c r="C5" s="70"/>
      <c r="D5" s="53"/>
      <c r="E5" s="71"/>
      <c r="K5" s="57"/>
      <c r="L5" s="72" t="s">
        <v>51</v>
      </c>
      <c r="M5" s="40">
        <f>MAR!F1</f>
        <v>0</v>
      </c>
      <c r="N5" s="54" t="s">
        <v>57</v>
      </c>
      <c r="O5" s="73">
        <f>SET!$F$1</f>
        <v>0</v>
      </c>
      <c r="P5" s="39" t="s">
        <v>83</v>
      </c>
      <c r="Q5" s="39">
        <f>SUM(Dívidas!D:D)</f>
        <v>0</v>
      </c>
      <c r="R5" s="39" t="s">
        <v>123</v>
      </c>
      <c r="S5" s="43">
        <f ca="1">TODAY()</f>
        <v>45863</v>
      </c>
      <c r="T5" s="83"/>
    </row>
    <row r="6" spans="1:21" ht="15.75" thickBot="1">
      <c r="A6" s="49" t="s">
        <v>78</v>
      </c>
      <c r="B6" s="70"/>
      <c r="C6" s="70"/>
      <c r="D6" s="51"/>
      <c r="E6" s="71"/>
      <c r="K6" s="38"/>
      <c r="L6" s="72" t="s">
        <v>52</v>
      </c>
      <c r="M6" s="40">
        <f>ABR!F1</f>
        <v>0</v>
      </c>
      <c r="N6" s="54" t="s">
        <v>58</v>
      </c>
      <c r="O6" s="73">
        <f>OUT!$F$1</f>
        <v>0</v>
      </c>
      <c r="P6" s="86" t="s">
        <v>118</v>
      </c>
      <c r="Q6" s="86"/>
      <c r="R6" s="86"/>
      <c r="S6" s="87"/>
      <c r="T6" s="83" t="s">
        <v>86</v>
      </c>
    </row>
    <row r="7" spans="1:21" ht="15.75" thickBot="1">
      <c r="A7" s="49" t="s">
        <v>8</v>
      </c>
      <c r="B7" s="70"/>
      <c r="C7" s="70"/>
      <c r="D7" s="51"/>
      <c r="E7" s="71"/>
      <c r="G7" s="39" t="s">
        <v>62</v>
      </c>
      <c r="K7" s="38"/>
      <c r="L7" s="72" t="s">
        <v>53</v>
      </c>
      <c r="M7" s="40">
        <f>MAI!F1</f>
        <v>0</v>
      </c>
      <c r="N7" s="54" t="s">
        <v>59</v>
      </c>
      <c r="O7" s="73">
        <f>NOV!$F$1</f>
        <v>0</v>
      </c>
      <c r="P7" s="47" t="s">
        <v>83</v>
      </c>
      <c r="Q7" s="45">
        <f>Q5</f>
        <v>0</v>
      </c>
      <c r="R7" s="44" t="s">
        <v>123</v>
      </c>
      <c r="S7" s="46">
        <f ca="1">TODAY()</f>
        <v>45863</v>
      </c>
      <c r="T7" s="83" t="s">
        <v>87</v>
      </c>
    </row>
    <row r="8" spans="1:21" ht="15.75" thickBot="1">
      <c r="A8" s="49" t="s">
        <v>61</v>
      </c>
      <c r="B8" s="70"/>
      <c r="C8" s="70"/>
      <c r="D8" s="51" t="s">
        <v>49</v>
      </c>
      <c r="E8" s="71"/>
      <c r="K8" s="38"/>
      <c r="L8" s="76" t="s">
        <v>54</v>
      </c>
      <c r="M8" s="77">
        <f>JUN!F1</f>
        <v>0</v>
      </c>
      <c r="N8" s="78" t="s">
        <v>60</v>
      </c>
      <c r="O8" s="79">
        <f>DEZ!$F$1</f>
        <v>0</v>
      </c>
      <c r="P8" s="47" t="s">
        <v>121</v>
      </c>
      <c r="Q8" s="47">
        <f ca="1">'Tabelas Auxiliares'!O3</f>
        <v>0</v>
      </c>
      <c r="R8" s="47" t="s">
        <v>124</v>
      </c>
      <c r="S8" s="48">
        <f ca="1">Q5-Q8</f>
        <v>0</v>
      </c>
      <c r="T8" s="83" t="s">
        <v>88</v>
      </c>
    </row>
    <row r="9" spans="1:21">
      <c r="A9" s="88"/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90"/>
      <c r="T9" s="83" t="s">
        <v>125</v>
      </c>
    </row>
    <row r="10" spans="1:21">
      <c r="A10" s="88"/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90"/>
      <c r="T10" s="83" t="s">
        <v>126</v>
      </c>
    </row>
    <row r="11" spans="1:21">
      <c r="A11" s="88"/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90"/>
      <c r="T11" s="83" t="s">
        <v>127</v>
      </c>
    </row>
    <row r="12" spans="1:21">
      <c r="A12" s="88"/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90"/>
      <c r="T12" s="83" t="s">
        <v>128</v>
      </c>
    </row>
    <row r="13" spans="1:21">
      <c r="A13" s="88"/>
      <c r="B13" s="89"/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90"/>
      <c r="T13" s="84" t="s">
        <v>89</v>
      </c>
    </row>
    <row r="14" spans="1:21">
      <c r="A14" s="88"/>
      <c r="B14" s="89"/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90"/>
      <c r="T14" s="84" t="s">
        <v>90</v>
      </c>
    </row>
    <row r="15" spans="1:21" ht="15.75">
      <c r="A15" s="88"/>
      <c r="B15" s="89"/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90"/>
      <c r="T15" s="82"/>
    </row>
    <row r="16" spans="1:21">
      <c r="A16" s="88"/>
      <c r="B16" s="89"/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90"/>
      <c r="T16" s="83"/>
    </row>
    <row r="17" spans="1:27">
      <c r="A17" s="88"/>
      <c r="B17" s="89"/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90"/>
      <c r="AA17" s="83"/>
    </row>
    <row r="18" spans="1:27">
      <c r="A18" s="88"/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90"/>
    </row>
    <row r="19" spans="1:27">
      <c r="A19" s="88"/>
      <c r="B19" s="89"/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90"/>
    </row>
    <row r="20" spans="1:27">
      <c r="A20" s="88"/>
      <c r="B20" s="89"/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90"/>
    </row>
    <row r="21" spans="1:27">
      <c r="A21" s="88"/>
      <c r="B21" s="89"/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90"/>
    </row>
    <row r="22" spans="1:27">
      <c r="A22" s="88"/>
      <c r="B22" s="89"/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90"/>
    </row>
    <row r="23" spans="1:27">
      <c r="A23" s="88"/>
      <c r="B23" s="89"/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90"/>
    </row>
    <row r="24" spans="1:27">
      <c r="A24" s="88"/>
      <c r="B24" s="89"/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90"/>
    </row>
    <row r="25" spans="1:27">
      <c r="A25" s="88"/>
      <c r="B25" s="89"/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90"/>
    </row>
    <row r="26" spans="1:27">
      <c r="A26" s="88"/>
      <c r="B26" s="89"/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90"/>
    </row>
    <row r="27" spans="1:27">
      <c r="A27" s="88"/>
      <c r="B27" s="89"/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90"/>
    </row>
    <row r="28" spans="1:27">
      <c r="A28" s="88"/>
      <c r="B28" s="89"/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90"/>
    </row>
    <row r="29" spans="1:27">
      <c r="A29" s="88"/>
      <c r="B29" s="89"/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90"/>
    </row>
    <row r="30" spans="1:27">
      <c r="A30" s="88"/>
      <c r="B30" s="89"/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90"/>
    </row>
    <row r="31" spans="1:27">
      <c r="A31" s="88"/>
      <c r="B31" s="89"/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90"/>
    </row>
    <row r="32" spans="1:27">
      <c r="A32" s="88"/>
      <c r="B32" s="89"/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90"/>
    </row>
    <row r="33" spans="1:19">
      <c r="A33" s="88"/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90"/>
    </row>
    <row r="34" spans="1:19">
      <c r="A34" s="88"/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90"/>
    </row>
    <row r="35" spans="1:19">
      <c r="A35" s="88"/>
      <c r="B35" s="89"/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90"/>
    </row>
    <row r="36" spans="1:19">
      <c r="A36" s="88"/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90"/>
    </row>
    <row r="37" spans="1:19">
      <c r="A37" s="88"/>
      <c r="B37" s="89"/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90"/>
    </row>
    <row r="38" spans="1:19">
      <c r="A38" s="88"/>
      <c r="B38" s="89"/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90"/>
    </row>
    <row r="39" spans="1:19">
      <c r="A39" s="88"/>
      <c r="B39" s="89"/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90"/>
    </row>
    <row r="40" spans="1:19">
      <c r="A40" s="88"/>
      <c r="B40" s="89"/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90"/>
    </row>
    <row r="41" spans="1:19">
      <c r="A41" s="88"/>
      <c r="B41" s="89"/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90"/>
    </row>
    <row r="42" spans="1:19" ht="15.75" thickBot="1">
      <c r="A42" s="91"/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3"/>
    </row>
  </sheetData>
  <protectedRanges>
    <protectedRange sqref="D8" name="Intervalo4"/>
    <protectedRange sqref="D7" name="Intervalo3"/>
    <protectedRange sqref="D3" name="Intervalo2"/>
    <protectedRange sqref="D2" name="Intervalo1"/>
  </protectedRanges>
  <mergeCells count="7">
    <mergeCell ref="P6:S6"/>
    <mergeCell ref="A9:S42"/>
    <mergeCell ref="K3:K4"/>
    <mergeCell ref="L2:O2"/>
    <mergeCell ref="A1:S1"/>
    <mergeCell ref="P2:S2"/>
    <mergeCell ref="P4:S4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1B02975-8AE4-47FC-BA76-BB21C480E87D}">
          <x14:formula1>
            <xm:f>'Tabelas Auxiliares'!$E$2:$E$13</xm:f>
          </x14:formula1>
          <xm:sqref>D8</xm:sqref>
        </x14:dataValidation>
        <x14:dataValidation type="list" allowBlank="1" showInputMessage="1" showErrorMessage="1" xr:uid="{CCA14828-6F35-4A35-8E6E-A40D9B00AB65}">
          <x14:formula1>
            <xm:f>'Tabelas Auxiliares'!$C$2:$C$101</xm:f>
          </x14:formula1>
          <xm:sqref>D7</xm:sqref>
        </x14:dataValidation>
        <x14:dataValidation type="list" allowBlank="1" showInputMessage="1" showErrorMessage="1" xr:uid="{35224730-5F7B-4DC4-A90F-48F128626677}">
          <x14:formula1>
            <xm:f>'Tabelas Auxiliares'!$E$16:$E$21</xm:f>
          </x14:formula1>
          <xm:sqref>D4</xm:sqref>
        </x14:dataValidation>
        <x14:dataValidation type="list" allowBlank="1" showInputMessage="1" showErrorMessage="1" xr:uid="{05EB78A5-C425-41D6-9E58-CC8ADB21D1BB}">
          <x14:formula1>
            <xm:f>'Tabelas Auxiliares'!$E$25:$E$26</xm:f>
          </x14:formula1>
          <xm:sqref>D5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8BA55-3195-420B-94A1-957B43DDACF7}">
  <sheetPr codeName="Planilha2"/>
  <dimension ref="B1:P51"/>
  <sheetViews>
    <sheetView zoomScale="85" zoomScaleNormal="85" workbookViewId="0">
      <selection activeCell="K14" sqref="K14"/>
    </sheetView>
  </sheetViews>
  <sheetFormatPr defaultRowHeight="15"/>
  <cols>
    <col min="1" max="1" width="2.7109375" customWidth="1"/>
    <col min="2" max="2" width="19.7109375" bestFit="1" customWidth="1"/>
    <col min="3" max="3" width="14.28515625" bestFit="1" customWidth="1"/>
    <col min="4" max="4" width="2.7109375" customWidth="1"/>
    <col min="5" max="5" width="16.85546875" bestFit="1" customWidth="1"/>
    <col min="6" max="6" width="2.5703125" customWidth="1"/>
    <col min="7" max="7" width="7.7109375" bestFit="1" customWidth="1"/>
    <col min="8" max="8" width="17.28515625" bestFit="1" customWidth="1"/>
    <col min="9" max="9" width="16.85546875" bestFit="1" customWidth="1"/>
    <col min="10" max="10" width="14.28515625" bestFit="1" customWidth="1"/>
    <col min="11" max="12" width="14.140625" bestFit="1" customWidth="1"/>
    <col min="13" max="13" width="10.42578125" bestFit="1" customWidth="1"/>
    <col min="14" max="14" width="19.85546875" bestFit="1" customWidth="1"/>
    <col min="15" max="15" width="14.7109375" bestFit="1" customWidth="1"/>
  </cols>
  <sheetData>
    <row r="1" spans="2:16">
      <c r="B1" t="s">
        <v>5</v>
      </c>
      <c r="C1" t="s">
        <v>8</v>
      </c>
      <c r="E1" t="s">
        <v>7</v>
      </c>
      <c r="G1" s="103" t="s">
        <v>66</v>
      </c>
      <c r="H1" s="103"/>
      <c r="I1" s="103"/>
      <c r="J1" s="103"/>
      <c r="K1" s="103"/>
      <c r="L1" s="103"/>
      <c r="M1" s="103"/>
      <c r="N1" s="103"/>
      <c r="O1" s="103"/>
      <c r="P1" s="103"/>
    </row>
    <row r="2" spans="2:16">
      <c r="B2" s="8" t="s">
        <v>9</v>
      </c>
      <c r="C2" s="9" t="s">
        <v>16</v>
      </c>
      <c r="E2" t="s">
        <v>49</v>
      </c>
      <c r="G2" s="19" t="s">
        <v>7</v>
      </c>
      <c r="H2" s="20" t="s">
        <v>38</v>
      </c>
      <c r="I2" s="20" t="s">
        <v>16</v>
      </c>
      <c r="J2" s="20" t="s">
        <v>26</v>
      </c>
      <c r="K2" s="20" t="s">
        <v>102</v>
      </c>
      <c r="L2" s="20" t="s">
        <v>37</v>
      </c>
      <c r="M2" s="9" t="s">
        <v>74</v>
      </c>
      <c r="N2" s="28" t="s">
        <v>133</v>
      </c>
      <c r="O2" s="21" t="s">
        <v>122</v>
      </c>
      <c r="P2" s="21" t="s">
        <v>97</v>
      </c>
    </row>
    <row r="3" spans="2:16">
      <c r="B3" s="8" t="s">
        <v>10</v>
      </c>
      <c r="C3" s="9" t="s">
        <v>16</v>
      </c>
      <c r="E3" t="s">
        <v>50</v>
      </c>
      <c r="G3" s="18" t="str">
        <f>Registros!$D$8</f>
        <v>JAN</v>
      </c>
      <c r="H3" s="18">
        <f ca="1">SUMIFS(INDIRECT("'" &amp; $G$3 &amp; "'!H:H"), INDIRECT("'" &amp; $G$3 &amp; "'!L:L"), H2)</f>
        <v>0</v>
      </c>
      <c r="I3" s="18">
        <f t="shared" ref="I3:P3" ca="1" si="0">SUMIFS(INDIRECT("'" &amp; $G$3 &amp; "'!H:H"), INDIRECT("'" &amp; $G$3 &amp; "'!L:L"), I2)</f>
        <v>0</v>
      </c>
      <c r="J3" s="18">
        <f t="shared" ca="1" si="0"/>
        <v>0</v>
      </c>
      <c r="K3" s="18">
        <f t="shared" ca="1" si="0"/>
        <v>0</v>
      </c>
      <c r="L3" s="18">
        <f t="shared" ca="1" si="0"/>
        <v>0</v>
      </c>
      <c r="M3" s="18">
        <f t="shared" ca="1" si="0"/>
        <v>0</v>
      </c>
      <c r="N3" s="18">
        <f t="shared" ca="1" si="0"/>
        <v>0</v>
      </c>
      <c r="O3" s="18">
        <f t="shared" ca="1" si="0"/>
        <v>0</v>
      </c>
      <c r="P3" s="18">
        <f t="shared" ca="1" si="0"/>
        <v>0</v>
      </c>
    </row>
    <row r="4" spans="2:16">
      <c r="B4" s="8" t="s">
        <v>11</v>
      </c>
      <c r="C4" s="9" t="s">
        <v>16</v>
      </c>
      <c r="E4" t="s">
        <v>51</v>
      </c>
      <c r="G4" s="104" t="s">
        <v>67</v>
      </c>
      <c r="H4" s="104"/>
      <c r="I4" s="104"/>
      <c r="J4" s="104"/>
      <c r="K4" s="104"/>
      <c r="L4" s="104"/>
      <c r="M4" s="104"/>
      <c r="N4" s="104"/>
      <c r="O4" s="104"/>
      <c r="P4" s="104"/>
    </row>
    <row r="5" spans="2:16">
      <c r="B5" s="8" t="s">
        <v>12</v>
      </c>
      <c r="C5" s="9" t="s">
        <v>16</v>
      </c>
      <c r="E5" t="s">
        <v>52</v>
      </c>
      <c r="G5" s="14" t="s">
        <v>7</v>
      </c>
      <c r="H5" s="20" t="s">
        <v>68</v>
      </c>
      <c r="I5" s="20" t="s">
        <v>69</v>
      </c>
      <c r="J5" s="20" t="s">
        <v>70</v>
      </c>
      <c r="K5" s="20" t="s">
        <v>71</v>
      </c>
      <c r="L5" s="21" t="s">
        <v>43</v>
      </c>
      <c r="M5" s="21" t="s">
        <v>122</v>
      </c>
      <c r="N5" s="21" t="s">
        <v>71</v>
      </c>
      <c r="O5" s="21" t="s">
        <v>112</v>
      </c>
      <c r="P5" s="21" t="s">
        <v>99</v>
      </c>
    </row>
    <row r="6" spans="2:16">
      <c r="B6" s="8" t="s">
        <v>13</v>
      </c>
      <c r="C6" s="9" t="s">
        <v>16</v>
      </c>
      <c r="E6" t="s">
        <v>53</v>
      </c>
      <c r="G6" s="18" t="str">
        <f>G3</f>
        <v>JAN</v>
      </c>
      <c r="H6" s="18">
        <f ca="1">SUMIFS(INDIRECT("'" &amp; $G$6 &amp; "'!O:O"), INDIRECT("'" &amp; $G$6 &amp; "'!S:S"), H5)</f>
        <v>0</v>
      </c>
      <c r="I6" s="18">
        <f t="shared" ref="I6:O6" ca="1" si="1">SUMIFS(INDIRECT("'" &amp; $G$6 &amp; "'!O:O"), INDIRECT("'" &amp; $G$6 &amp; "'!S:S"), I5)</f>
        <v>0</v>
      </c>
      <c r="J6" s="18">
        <f t="shared" ca="1" si="1"/>
        <v>0</v>
      </c>
      <c r="K6" s="18">
        <f t="shared" ca="1" si="1"/>
        <v>0</v>
      </c>
      <c r="L6" s="18">
        <f t="shared" ca="1" si="1"/>
        <v>0</v>
      </c>
      <c r="M6" s="18">
        <f t="shared" ca="1" si="1"/>
        <v>0</v>
      </c>
      <c r="N6" s="18">
        <f t="shared" ca="1" si="1"/>
        <v>0</v>
      </c>
      <c r="O6" s="18">
        <f t="shared" ca="1" si="1"/>
        <v>0</v>
      </c>
      <c r="P6" s="18">
        <f ca="1">SUMIFS(INDIRECT("'" &amp; $G$6 &amp; "'!O:O"), INDIRECT("'" &amp; $G$6 &amp; "'!S:S"), P5)</f>
        <v>0</v>
      </c>
    </row>
    <row r="7" spans="2:16">
      <c r="B7" s="8" t="s">
        <v>14</v>
      </c>
      <c r="C7" s="9" t="s">
        <v>16</v>
      </c>
      <c r="E7" t="s">
        <v>54</v>
      </c>
      <c r="G7" s="24" t="s">
        <v>7</v>
      </c>
      <c r="H7" s="101" t="s">
        <v>0</v>
      </c>
      <c r="I7" s="101"/>
      <c r="J7" s="102" t="s">
        <v>1</v>
      </c>
      <c r="K7" s="102"/>
    </row>
    <row r="8" spans="2:16">
      <c r="B8" s="8" t="s">
        <v>15</v>
      </c>
      <c r="C8" s="9" t="s">
        <v>16</v>
      </c>
      <c r="E8" t="s">
        <v>55</v>
      </c>
      <c r="G8" s="18" t="str">
        <f>G6</f>
        <v>JAN</v>
      </c>
      <c r="H8" s="18">
        <f ca="1">SUM(H3:P3)</f>
        <v>0</v>
      </c>
      <c r="I8" s="26" t="s">
        <v>64</v>
      </c>
      <c r="J8" s="27">
        <f ca="1">SUM(H6:P6)</f>
        <v>0</v>
      </c>
      <c r="K8" s="26" t="s">
        <v>65</v>
      </c>
    </row>
    <row r="9" spans="2:16">
      <c r="B9" s="8" t="s">
        <v>17</v>
      </c>
      <c r="C9" s="9" t="s">
        <v>26</v>
      </c>
      <c r="E9" t="s">
        <v>56</v>
      </c>
      <c r="G9" s="30" t="s">
        <v>7</v>
      </c>
      <c r="H9" s="31" t="s">
        <v>120</v>
      </c>
    </row>
    <row r="10" spans="2:16">
      <c r="B10" s="8" t="s">
        <v>18</v>
      </c>
      <c r="C10" s="9" t="s">
        <v>26</v>
      </c>
      <c r="E10" t="s">
        <v>57</v>
      </c>
      <c r="G10" s="18" t="str">
        <f>G3</f>
        <v>JAN</v>
      </c>
      <c r="H10" s="18">
        <f ca="1">SUMIFS(INDIRECT("'" &amp; G10 &amp; "'!H:H"), INDIRECT("'" &amp; G10 &amp; "'!K:K"), "&lt;&gt;")</f>
        <v>0</v>
      </c>
    </row>
    <row r="11" spans="2:16">
      <c r="B11" s="10" t="s">
        <v>75</v>
      </c>
      <c r="C11" s="9" t="s">
        <v>26</v>
      </c>
      <c r="E11" t="s">
        <v>58</v>
      </c>
    </row>
    <row r="12" spans="2:16">
      <c r="B12" s="8" t="s">
        <v>19</v>
      </c>
      <c r="C12" s="9" t="s">
        <v>26</v>
      </c>
      <c r="E12" t="s">
        <v>59</v>
      </c>
      <c r="H12" s="35" t="s">
        <v>131</v>
      </c>
      <c r="I12" s="35" t="s">
        <v>132</v>
      </c>
    </row>
    <row r="13" spans="2:16">
      <c r="B13" s="8" t="s">
        <v>20</v>
      </c>
      <c r="C13" s="9" t="s">
        <v>102</v>
      </c>
      <c r="E13" t="s">
        <v>63</v>
      </c>
      <c r="H13" s="20" t="s">
        <v>38</v>
      </c>
      <c r="I13" s="20" t="s">
        <v>68</v>
      </c>
    </row>
    <row r="14" spans="2:16">
      <c r="B14" s="8" t="s">
        <v>21</v>
      </c>
      <c r="C14" s="9" t="s">
        <v>102</v>
      </c>
      <c r="H14" s="20" t="s">
        <v>16</v>
      </c>
      <c r="I14" s="20" t="s">
        <v>69</v>
      </c>
    </row>
    <row r="15" spans="2:16">
      <c r="B15" s="8" t="s">
        <v>22</v>
      </c>
      <c r="C15" s="9" t="s">
        <v>102</v>
      </c>
      <c r="E15" t="s">
        <v>77</v>
      </c>
      <c r="H15" s="20" t="s">
        <v>26</v>
      </c>
      <c r="I15" s="20" t="s">
        <v>70</v>
      </c>
    </row>
    <row r="16" spans="2:16">
      <c r="B16" s="8" t="s">
        <v>23</v>
      </c>
      <c r="C16" s="9" t="s">
        <v>43</v>
      </c>
      <c r="E16" t="s">
        <v>93</v>
      </c>
      <c r="H16" s="20" t="s">
        <v>102</v>
      </c>
      <c r="I16" s="20" t="s">
        <v>71</v>
      </c>
    </row>
    <row r="17" spans="2:9">
      <c r="B17" s="8" t="s">
        <v>24</v>
      </c>
      <c r="C17" s="9" t="s">
        <v>102</v>
      </c>
      <c r="E17" t="s">
        <v>94</v>
      </c>
      <c r="H17" s="20" t="s">
        <v>37</v>
      </c>
      <c r="I17" s="21" t="s">
        <v>43</v>
      </c>
    </row>
    <row r="18" spans="2:9">
      <c r="B18" s="8" t="s">
        <v>27</v>
      </c>
      <c r="C18" s="9" t="s">
        <v>37</v>
      </c>
      <c r="E18" t="s">
        <v>95</v>
      </c>
      <c r="H18" s="9" t="s">
        <v>74</v>
      </c>
      <c r="I18" s="21" t="s">
        <v>122</v>
      </c>
    </row>
    <row r="19" spans="2:9">
      <c r="B19" s="8" t="s">
        <v>28</v>
      </c>
      <c r="C19" s="9" t="s">
        <v>37</v>
      </c>
      <c r="E19" t="s">
        <v>82</v>
      </c>
      <c r="H19" s="28" t="s">
        <v>97</v>
      </c>
      <c r="I19" s="21" t="s">
        <v>71</v>
      </c>
    </row>
    <row r="20" spans="2:9">
      <c r="B20" s="8" t="s">
        <v>2</v>
      </c>
      <c r="C20" s="9" t="s">
        <v>37</v>
      </c>
      <c r="E20" t="s">
        <v>96</v>
      </c>
      <c r="H20" s="34" t="s">
        <v>122</v>
      </c>
      <c r="I20" s="34" t="s">
        <v>112</v>
      </c>
    </row>
    <row r="21" spans="2:9">
      <c r="B21" s="8" t="s">
        <v>29</v>
      </c>
      <c r="C21" s="9" t="s">
        <v>37</v>
      </c>
      <c r="E21" t="s">
        <v>101</v>
      </c>
    </row>
    <row r="22" spans="2:9">
      <c r="B22" s="8" t="s">
        <v>30</v>
      </c>
      <c r="C22" s="9" t="s">
        <v>37</v>
      </c>
      <c r="E22" t="s">
        <v>109</v>
      </c>
    </row>
    <row r="23" spans="2:9">
      <c r="B23" s="8" t="s">
        <v>31</v>
      </c>
      <c r="C23" s="9" t="s">
        <v>37</v>
      </c>
    </row>
    <row r="24" spans="2:9">
      <c r="B24" s="8" t="s">
        <v>32</v>
      </c>
      <c r="C24" s="9" t="s">
        <v>37</v>
      </c>
      <c r="E24" s="55" t="s">
        <v>135</v>
      </c>
    </row>
    <row r="25" spans="2:9">
      <c r="B25" s="8" t="s">
        <v>33</v>
      </c>
      <c r="C25" s="9" t="s">
        <v>37</v>
      </c>
      <c r="E25" s="56" t="s">
        <v>136</v>
      </c>
    </row>
    <row r="26" spans="2:9">
      <c r="B26" s="8" t="s">
        <v>34</v>
      </c>
      <c r="C26" s="9" t="s">
        <v>37</v>
      </c>
      <c r="E26" s="56" t="s">
        <v>137</v>
      </c>
    </row>
    <row r="27" spans="2:9">
      <c r="B27" s="8" t="s">
        <v>35</v>
      </c>
      <c r="C27" s="9" t="s">
        <v>37</v>
      </c>
    </row>
    <row r="28" spans="2:9">
      <c r="B28" s="8" t="s">
        <v>36</v>
      </c>
      <c r="C28" s="9" t="s">
        <v>37</v>
      </c>
    </row>
    <row r="29" spans="2:9">
      <c r="B29" s="10" t="s">
        <v>38</v>
      </c>
      <c r="C29" s="9" t="s">
        <v>43</v>
      </c>
    </row>
    <row r="30" spans="2:9">
      <c r="B30" s="10" t="s">
        <v>39</v>
      </c>
      <c r="C30" s="9" t="s">
        <v>43</v>
      </c>
    </row>
    <row r="31" spans="2:9">
      <c r="B31" s="11" t="s">
        <v>40</v>
      </c>
      <c r="C31" s="9" t="s">
        <v>43</v>
      </c>
    </row>
    <row r="32" spans="2:9">
      <c r="B32" s="10" t="s">
        <v>41</v>
      </c>
      <c r="C32" s="9" t="s">
        <v>43</v>
      </c>
    </row>
    <row r="33" spans="2:3">
      <c r="B33" s="10" t="s">
        <v>42</v>
      </c>
      <c r="C33" s="9" t="s">
        <v>43</v>
      </c>
    </row>
    <row r="34" spans="2:3">
      <c r="B34" s="12" t="s">
        <v>25</v>
      </c>
      <c r="C34" s="13" t="s">
        <v>43</v>
      </c>
    </row>
    <row r="35" spans="2:3">
      <c r="B35" s="10" t="s">
        <v>3</v>
      </c>
      <c r="C35" s="9" t="s">
        <v>68</v>
      </c>
    </row>
    <row r="36" spans="2:3">
      <c r="B36" s="10" t="s">
        <v>4</v>
      </c>
      <c r="C36" s="9" t="s">
        <v>69</v>
      </c>
    </row>
    <row r="37" spans="2:3">
      <c r="B37" s="10" t="s">
        <v>44</v>
      </c>
      <c r="C37" s="9" t="s">
        <v>70</v>
      </c>
    </row>
    <row r="38" spans="2:3">
      <c r="B38" s="10" t="s">
        <v>45</v>
      </c>
      <c r="C38" s="9" t="s">
        <v>71</v>
      </c>
    </row>
    <row r="39" spans="2:3">
      <c r="B39" s="12" t="s">
        <v>46</v>
      </c>
      <c r="C39" s="13" t="s">
        <v>43</v>
      </c>
    </row>
    <row r="40" spans="2:3">
      <c r="B40" s="12" t="s">
        <v>72</v>
      </c>
      <c r="C40" s="9" t="s">
        <v>37</v>
      </c>
    </row>
    <row r="41" spans="2:3">
      <c r="B41" s="12" t="s">
        <v>73</v>
      </c>
      <c r="C41" s="13" t="s">
        <v>74</v>
      </c>
    </row>
    <row r="42" spans="2:3">
      <c r="B42" s="12" t="s">
        <v>80</v>
      </c>
      <c r="C42" s="13" t="s">
        <v>38</v>
      </c>
    </row>
    <row r="43" spans="2:3">
      <c r="B43" s="12" t="s">
        <v>81</v>
      </c>
      <c r="C43" s="13" t="s">
        <v>38</v>
      </c>
    </row>
    <row r="44" spans="2:3">
      <c r="B44" s="12" t="s">
        <v>98</v>
      </c>
      <c r="C44" s="28" t="s">
        <v>97</v>
      </c>
    </row>
    <row r="45" spans="2:3">
      <c r="B45" s="12" t="s">
        <v>99</v>
      </c>
      <c r="C45" s="28" t="s">
        <v>97</v>
      </c>
    </row>
    <row r="46" spans="2:3">
      <c r="B46" s="12" t="s">
        <v>100</v>
      </c>
      <c r="C46" s="28" t="s">
        <v>97</v>
      </c>
    </row>
    <row r="47" spans="2:3">
      <c r="B47" s="12" t="s">
        <v>108</v>
      </c>
      <c r="C47" s="21" t="s">
        <v>122</v>
      </c>
    </row>
    <row r="48" spans="2:3">
      <c r="B48" s="12" t="s">
        <v>110</v>
      </c>
      <c r="C48" s="21" t="s">
        <v>71</v>
      </c>
    </row>
    <row r="49" spans="2:3">
      <c r="B49" s="12" t="s">
        <v>111</v>
      </c>
      <c r="C49" s="21" t="s">
        <v>71</v>
      </c>
    </row>
    <row r="50" spans="2:3">
      <c r="B50" s="12" t="s">
        <v>113</v>
      </c>
      <c r="C50" s="13" t="s">
        <v>112</v>
      </c>
    </row>
    <row r="51" spans="2:3">
      <c r="B51" s="12" t="s">
        <v>134</v>
      </c>
      <c r="C51" s="13" t="s">
        <v>133</v>
      </c>
    </row>
  </sheetData>
  <mergeCells count="4">
    <mergeCell ref="H7:I7"/>
    <mergeCell ref="J7:K7"/>
    <mergeCell ref="G1:P1"/>
    <mergeCell ref="G4:P4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1CA1C-17FC-4A4E-9D27-59E6D296435B}">
  <sheetPr codeName="Planilha3"/>
  <dimension ref="A1:V72"/>
  <sheetViews>
    <sheetView topLeftCell="F1" zoomScaleNormal="100" workbookViewId="0">
      <selection activeCell="G2" sqref="G2:M2"/>
    </sheetView>
  </sheetViews>
  <sheetFormatPr defaultRowHeight="15"/>
  <cols>
    <col min="1" max="1" width="13.28515625" bestFit="1" customWidth="1"/>
    <col min="2" max="2" width="14" bestFit="1" customWidth="1"/>
    <col min="3" max="3" width="15" bestFit="1" customWidth="1"/>
    <col min="4" max="4" width="15.85546875" bestFit="1" customWidth="1"/>
    <col min="5" max="5" width="12.85546875" bestFit="1" customWidth="1"/>
    <col min="6" max="6" width="13.28515625" bestFit="1" customWidth="1"/>
    <col min="7" max="7" width="10" bestFit="1" customWidth="1"/>
    <col min="8" max="8" width="12.28515625" bestFit="1" customWidth="1"/>
    <col min="9" max="9" width="16.85546875" bestFit="1" customWidth="1"/>
    <col min="10" max="10" width="11.7109375" style="16" bestFit="1" customWidth="1"/>
    <col min="11" max="11" width="11.140625" style="25" bestFit="1" customWidth="1"/>
    <col min="12" max="12" width="11.7109375" customWidth="1"/>
    <col min="13" max="13" width="11.85546875" bestFit="1" customWidth="1"/>
    <col min="14" max="14" width="12.140625" style="1" bestFit="1" customWidth="1"/>
    <col min="15" max="15" width="14.28515625" style="1" bestFit="1" customWidth="1"/>
    <col min="16" max="16" width="12.140625" bestFit="1" customWidth="1"/>
    <col min="17" max="17" width="11.7109375" bestFit="1" customWidth="1"/>
    <col min="18" max="18" width="11.140625" style="25" bestFit="1" customWidth="1"/>
    <col min="19" max="19" width="11.7109375" customWidth="1"/>
    <col min="20" max="20" width="12.140625" customWidth="1"/>
  </cols>
  <sheetData>
    <row r="1" spans="1:22" ht="15.75" thickBot="1">
      <c r="A1" s="105" t="s">
        <v>0</v>
      </c>
      <c r="B1" s="105"/>
      <c r="C1" s="106" t="s">
        <v>1</v>
      </c>
      <c r="D1" s="106"/>
      <c r="E1" t="s">
        <v>48</v>
      </c>
      <c r="F1" s="2">
        <f>SUM(C2-A2)</f>
        <v>0</v>
      </c>
      <c r="G1" s="59" t="s">
        <v>6</v>
      </c>
      <c r="H1" s="60" t="s">
        <v>47</v>
      </c>
      <c r="I1" s="60" t="s">
        <v>92</v>
      </c>
      <c r="J1" s="61" t="s">
        <v>135</v>
      </c>
      <c r="K1" s="60" t="s">
        <v>78</v>
      </c>
      <c r="L1" s="60" t="s">
        <v>8</v>
      </c>
      <c r="M1" s="62" t="s">
        <v>138</v>
      </c>
      <c r="N1" s="63" t="s">
        <v>6</v>
      </c>
      <c r="O1" s="66" t="s">
        <v>47</v>
      </c>
      <c r="P1" s="63" t="s">
        <v>92</v>
      </c>
      <c r="Q1" s="64" t="s">
        <v>135</v>
      </c>
      <c r="R1" s="64" t="s">
        <v>78</v>
      </c>
      <c r="S1" s="63" t="s">
        <v>8</v>
      </c>
      <c r="T1" s="65" t="s">
        <v>138</v>
      </c>
      <c r="U1" s="5"/>
    </row>
    <row r="2" spans="1:22">
      <c r="A2" s="16">
        <f>SUM(H:H)</f>
        <v>0</v>
      </c>
      <c r="B2" s="1" t="s">
        <v>64</v>
      </c>
      <c r="C2" s="17">
        <f>SUM(O:O)</f>
        <v>0</v>
      </c>
      <c r="D2" s="1" t="s">
        <v>65</v>
      </c>
      <c r="H2" s="22"/>
      <c r="I2" s="15"/>
      <c r="M2" s="15"/>
      <c r="N2" s="15"/>
      <c r="T2" s="58"/>
      <c r="U2" s="6">
        <v>0.02</v>
      </c>
      <c r="V2" s="5"/>
    </row>
    <row r="3" spans="1:22">
      <c r="A3" s="1"/>
      <c r="D3" s="1"/>
      <c r="H3" s="23"/>
      <c r="I3" s="15"/>
      <c r="N3" s="15"/>
      <c r="T3" s="58"/>
      <c r="U3" s="7">
        <v>3.3E-3</v>
      </c>
      <c r="V3" s="5"/>
    </row>
    <row r="4" spans="1:22">
      <c r="A4" s="1"/>
      <c r="D4" s="1"/>
      <c r="I4" s="15"/>
      <c r="J4" s="23"/>
      <c r="M4" s="15"/>
      <c r="N4" s="29"/>
      <c r="T4" s="58"/>
      <c r="U4" s="5"/>
      <c r="V4" s="5"/>
    </row>
    <row r="5" spans="1:22">
      <c r="A5" s="1"/>
      <c r="D5" s="1"/>
      <c r="I5" s="15"/>
      <c r="J5" s="23"/>
      <c r="M5" s="15"/>
      <c r="N5" s="15"/>
      <c r="T5" s="58"/>
      <c r="U5" s="5"/>
      <c r="V5" s="5"/>
    </row>
    <row r="6" spans="1:22">
      <c r="A6" s="1"/>
      <c r="D6" s="1"/>
      <c r="I6" s="15"/>
      <c r="M6" s="15"/>
      <c r="N6" s="15"/>
      <c r="T6" s="58"/>
      <c r="U6" s="5"/>
      <c r="V6" s="5"/>
    </row>
    <row r="7" spans="1:22">
      <c r="A7" s="1"/>
      <c r="I7" s="15"/>
      <c r="N7" s="15"/>
      <c r="T7" s="15"/>
    </row>
    <row r="8" spans="1:22">
      <c r="A8" s="2"/>
      <c r="D8" s="2"/>
      <c r="M8" s="15"/>
      <c r="N8" s="29"/>
    </row>
    <row r="10" spans="1:22">
      <c r="M10" s="15"/>
    </row>
    <row r="40" spans="19:19">
      <c r="S40" s="3"/>
    </row>
    <row r="41" spans="19:19">
      <c r="S41" s="3"/>
    </row>
    <row r="42" spans="19:19">
      <c r="S42" s="3"/>
    </row>
    <row r="43" spans="19:19">
      <c r="S43" s="3"/>
    </row>
    <row r="44" spans="19:19">
      <c r="S44" s="3"/>
    </row>
    <row r="66" spans="9:9">
      <c r="I66" s="4"/>
    </row>
    <row r="72" spans="9:9">
      <c r="I72" s="4"/>
    </row>
  </sheetData>
  <mergeCells count="2">
    <mergeCell ref="A1:B1"/>
    <mergeCell ref="C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969AC-3964-4C45-83D4-37B22B691286}">
  <sheetPr codeName="Planilha4"/>
  <dimension ref="A1:V72"/>
  <sheetViews>
    <sheetView topLeftCell="E1" workbookViewId="0">
      <selection activeCell="G1" sqref="G1:T1048576"/>
    </sheetView>
  </sheetViews>
  <sheetFormatPr defaultRowHeight="15"/>
  <cols>
    <col min="1" max="1" width="12.140625" bestFit="1" customWidth="1"/>
    <col min="2" max="2" width="14" bestFit="1" customWidth="1"/>
    <col min="3" max="3" width="15" bestFit="1" customWidth="1"/>
    <col min="4" max="4" width="12.140625" bestFit="1" customWidth="1"/>
    <col min="5" max="5" width="12.85546875" bestFit="1" customWidth="1"/>
    <col min="6" max="6" width="12.140625" bestFit="1" customWidth="1"/>
    <col min="7" max="7" width="10" bestFit="1" customWidth="1"/>
    <col min="8" max="8" width="12.28515625" bestFit="1" customWidth="1"/>
    <col min="9" max="9" width="16.85546875" bestFit="1" customWidth="1"/>
    <col min="10" max="10" width="11.7109375" style="16" bestFit="1" customWidth="1"/>
    <col min="11" max="11" width="11.140625" style="25" bestFit="1" customWidth="1"/>
    <col min="12" max="12" width="11.7109375" customWidth="1"/>
    <col min="13" max="13" width="11.85546875" bestFit="1" customWidth="1"/>
    <col min="14" max="14" width="12.140625" style="1" bestFit="1" customWidth="1"/>
    <col min="15" max="15" width="14.28515625" style="1" bestFit="1" customWidth="1"/>
    <col min="16" max="16" width="12.140625" bestFit="1" customWidth="1"/>
    <col min="17" max="17" width="11.7109375" bestFit="1" customWidth="1"/>
    <col min="18" max="18" width="11.140625" style="25" bestFit="1" customWidth="1"/>
    <col min="19" max="19" width="11.7109375" customWidth="1"/>
    <col min="20" max="20" width="12.140625" customWidth="1"/>
  </cols>
  <sheetData>
    <row r="1" spans="1:22" ht="15.75" thickBot="1">
      <c r="A1" s="105" t="s">
        <v>0</v>
      </c>
      <c r="B1" s="105"/>
      <c r="C1" s="106" t="s">
        <v>1</v>
      </c>
      <c r="D1" s="106"/>
      <c r="E1" t="s">
        <v>48</v>
      </c>
      <c r="F1" s="2">
        <f>SUM(C2-A2)</f>
        <v>0</v>
      </c>
      <c r="G1" s="59" t="s">
        <v>6</v>
      </c>
      <c r="H1" s="60" t="s">
        <v>47</v>
      </c>
      <c r="I1" s="60" t="s">
        <v>92</v>
      </c>
      <c r="J1" s="61" t="s">
        <v>135</v>
      </c>
      <c r="K1" s="60" t="s">
        <v>78</v>
      </c>
      <c r="L1" s="60" t="s">
        <v>8</v>
      </c>
      <c r="M1" s="62" t="s">
        <v>138</v>
      </c>
      <c r="N1" s="63" t="s">
        <v>6</v>
      </c>
      <c r="O1" s="66" t="s">
        <v>47</v>
      </c>
      <c r="P1" s="63" t="s">
        <v>92</v>
      </c>
      <c r="Q1" s="64" t="s">
        <v>135</v>
      </c>
      <c r="R1" s="64" t="s">
        <v>78</v>
      </c>
      <c r="S1" s="63" t="s">
        <v>8</v>
      </c>
      <c r="T1" s="65" t="s">
        <v>138</v>
      </c>
      <c r="U1" s="5"/>
      <c r="V1" s="5"/>
    </row>
    <row r="2" spans="1:22">
      <c r="A2" s="16">
        <f>SUM(H:H)</f>
        <v>0</v>
      </c>
      <c r="B2" s="1" t="s">
        <v>64</v>
      </c>
      <c r="C2" s="17">
        <f>SUM(O:O)</f>
        <v>0</v>
      </c>
      <c r="D2" s="1" t="s">
        <v>65</v>
      </c>
      <c r="H2" s="22"/>
      <c r="I2" s="15"/>
      <c r="N2" s="15"/>
      <c r="T2" s="58"/>
    </row>
    <row r="3" spans="1:22">
      <c r="A3" s="2"/>
      <c r="D3" s="2"/>
      <c r="H3" s="23"/>
      <c r="I3" s="15"/>
      <c r="N3" s="15"/>
      <c r="T3" s="58"/>
    </row>
    <row r="4" spans="1:22">
      <c r="I4" s="15"/>
      <c r="J4" s="23"/>
      <c r="M4" s="15"/>
      <c r="N4" s="29"/>
      <c r="T4" s="58"/>
    </row>
    <row r="5" spans="1:22">
      <c r="I5" s="15"/>
      <c r="J5" s="23"/>
      <c r="M5" s="15"/>
      <c r="N5" s="15"/>
      <c r="T5" s="58"/>
    </row>
    <row r="6" spans="1:22">
      <c r="I6" s="15"/>
      <c r="M6" s="15"/>
      <c r="N6" s="15"/>
      <c r="T6" s="58"/>
    </row>
    <row r="7" spans="1:22">
      <c r="I7" s="15"/>
      <c r="N7" s="15"/>
      <c r="T7" s="15"/>
    </row>
    <row r="8" spans="1:22">
      <c r="M8" s="15"/>
      <c r="N8" s="29"/>
    </row>
    <row r="10" spans="1:22">
      <c r="M10" s="15"/>
    </row>
    <row r="40" spans="19:19">
      <c r="S40" s="3"/>
    </row>
    <row r="41" spans="19:19">
      <c r="S41" s="3"/>
    </row>
    <row r="42" spans="19:19">
      <c r="S42" s="3"/>
    </row>
    <row r="43" spans="19:19">
      <c r="S43" s="3"/>
    </row>
    <row r="44" spans="19:19">
      <c r="S44" s="3"/>
    </row>
    <row r="66" spans="9:9">
      <c r="I66" s="4"/>
    </row>
    <row r="72" spans="9:9">
      <c r="I72" s="4"/>
    </row>
  </sheetData>
  <mergeCells count="2">
    <mergeCell ref="A1:B1"/>
    <mergeCell ref="C1:D1"/>
  </mergeCells>
  <phoneticPr fontId="2" type="noConversion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FD1BD-2B6F-4BF5-ABC0-6E7E38277838}">
  <sheetPr codeName="Planilha5"/>
  <dimension ref="A1:U72"/>
  <sheetViews>
    <sheetView workbookViewId="0">
      <selection activeCell="G1" sqref="G1:T1048576"/>
    </sheetView>
  </sheetViews>
  <sheetFormatPr defaultRowHeight="15"/>
  <cols>
    <col min="1" max="1" width="12.140625" bestFit="1" customWidth="1"/>
    <col min="2" max="2" width="14" bestFit="1" customWidth="1"/>
    <col min="3" max="3" width="15" bestFit="1" customWidth="1"/>
    <col min="4" max="4" width="12.140625" bestFit="1" customWidth="1"/>
    <col min="5" max="5" width="12.85546875" bestFit="1" customWidth="1"/>
    <col min="6" max="6" width="12.140625" bestFit="1" customWidth="1"/>
    <col min="7" max="7" width="10" bestFit="1" customWidth="1"/>
    <col min="8" max="8" width="12.28515625" bestFit="1" customWidth="1"/>
    <col min="9" max="9" width="16.85546875" bestFit="1" customWidth="1"/>
    <col min="10" max="10" width="11.7109375" style="16" bestFit="1" customWidth="1"/>
    <col min="11" max="11" width="11.140625" style="25" bestFit="1" customWidth="1"/>
    <col min="12" max="12" width="11.7109375" customWidth="1"/>
    <col min="13" max="13" width="11.85546875" bestFit="1" customWidth="1"/>
    <col min="14" max="14" width="12.140625" style="1" bestFit="1" customWidth="1"/>
    <col min="15" max="15" width="14.28515625" style="1" bestFit="1" customWidth="1"/>
    <col min="16" max="16" width="12.140625" bestFit="1" customWidth="1"/>
    <col min="17" max="17" width="11.7109375" bestFit="1" customWidth="1"/>
    <col min="18" max="18" width="11.140625" style="25" bestFit="1" customWidth="1"/>
    <col min="19" max="19" width="11.7109375" customWidth="1"/>
    <col min="20" max="20" width="12.140625" customWidth="1"/>
  </cols>
  <sheetData>
    <row r="1" spans="1:21" ht="15.75" thickBot="1">
      <c r="A1" s="105" t="s">
        <v>0</v>
      </c>
      <c r="B1" s="105"/>
      <c r="C1" s="106" t="s">
        <v>1</v>
      </c>
      <c r="D1" s="106"/>
      <c r="E1" t="s">
        <v>48</v>
      </c>
      <c r="F1" s="2">
        <f>SUM(C2-A2)</f>
        <v>0</v>
      </c>
      <c r="G1" s="59" t="s">
        <v>6</v>
      </c>
      <c r="H1" s="60" t="s">
        <v>47</v>
      </c>
      <c r="I1" s="60" t="s">
        <v>92</v>
      </c>
      <c r="J1" s="61" t="s">
        <v>135</v>
      </c>
      <c r="K1" s="60" t="s">
        <v>78</v>
      </c>
      <c r="L1" s="60" t="s">
        <v>8</v>
      </c>
      <c r="M1" s="62" t="s">
        <v>138</v>
      </c>
      <c r="N1" s="63" t="s">
        <v>6</v>
      </c>
      <c r="O1" s="66" t="s">
        <v>47</v>
      </c>
      <c r="P1" s="63" t="s">
        <v>92</v>
      </c>
      <c r="Q1" s="64" t="s">
        <v>135</v>
      </c>
      <c r="R1" s="64" t="s">
        <v>78</v>
      </c>
      <c r="S1" s="63" t="s">
        <v>8</v>
      </c>
      <c r="T1" s="65" t="s">
        <v>138</v>
      </c>
      <c r="U1" s="5"/>
    </row>
    <row r="2" spans="1:21">
      <c r="A2" s="16">
        <f>SUM(H:H)</f>
        <v>0</v>
      </c>
      <c r="B2" s="1" t="s">
        <v>64</v>
      </c>
      <c r="C2" s="17">
        <f>SUM(O:O)</f>
        <v>0</v>
      </c>
      <c r="D2" s="1" t="s">
        <v>65</v>
      </c>
      <c r="H2" s="22"/>
      <c r="I2" s="15"/>
      <c r="N2" s="15"/>
      <c r="T2" s="58"/>
    </row>
    <row r="3" spans="1:21">
      <c r="H3" s="23"/>
      <c r="I3" s="15"/>
      <c r="N3" s="15"/>
      <c r="T3" s="58"/>
    </row>
    <row r="4" spans="1:21">
      <c r="I4" s="15"/>
      <c r="J4" s="23"/>
      <c r="M4" s="15"/>
      <c r="N4" s="29"/>
      <c r="T4" s="58"/>
    </row>
    <row r="5" spans="1:21">
      <c r="I5" s="15"/>
      <c r="J5" s="23"/>
      <c r="M5" s="15"/>
      <c r="N5" s="15"/>
      <c r="T5" s="58"/>
    </row>
    <row r="6" spans="1:21">
      <c r="I6" s="15"/>
      <c r="M6" s="15"/>
      <c r="N6" s="15"/>
      <c r="T6" s="58"/>
    </row>
    <row r="7" spans="1:21">
      <c r="I7" s="15"/>
      <c r="N7" s="15"/>
      <c r="T7" s="15"/>
    </row>
    <row r="8" spans="1:21">
      <c r="M8" s="15"/>
      <c r="N8" s="29"/>
    </row>
    <row r="10" spans="1:21">
      <c r="M10" s="15"/>
    </row>
    <row r="40" spans="19:19">
      <c r="S40" s="3"/>
    </row>
    <row r="41" spans="19:19">
      <c r="S41" s="3"/>
    </row>
    <row r="42" spans="19:19">
      <c r="S42" s="3"/>
    </row>
    <row r="43" spans="19:19">
      <c r="S43" s="3"/>
    </row>
    <row r="44" spans="19:19">
      <c r="S44" s="3"/>
    </row>
    <row r="66" spans="9:9">
      <c r="I66" s="4"/>
    </row>
    <row r="72" spans="9:9">
      <c r="I72" s="4"/>
    </row>
  </sheetData>
  <mergeCells count="2">
    <mergeCell ref="A1:B1"/>
    <mergeCell ref="C1:D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A14BF-4D9A-47D9-A702-DEB65E75BED6}">
  <sheetPr codeName="Planilha6"/>
  <dimension ref="A1:U72"/>
  <sheetViews>
    <sheetView workbookViewId="0">
      <selection activeCell="G1" sqref="G1:T1048576"/>
    </sheetView>
  </sheetViews>
  <sheetFormatPr defaultRowHeight="15"/>
  <cols>
    <col min="1" max="1" width="12.140625" bestFit="1" customWidth="1"/>
    <col min="2" max="2" width="14" bestFit="1" customWidth="1"/>
    <col min="3" max="3" width="15" bestFit="1" customWidth="1"/>
    <col min="4" max="4" width="12.140625" bestFit="1" customWidth="1"/>
    <col min="6" max="6" width="10.5703125" bestFit="1" customWidth="1"/>
    <col min="7" max="7" width="10" bestFit="1" customWidth="1"/>
    <col min="8" max="8" width="12.28515625" bestFit="1" customWidth="1"/>
    <col min="9" max="9" width="16.85546875" bestFit="1" customWidth="1"/>
    <col min="10" max="10" width="11.7109375" style="16" bestFit="1" customWidth="1"/>
    <col min="11" max="11" width="11.140625" style="25" bestFit="1" customWidth="1"/>
    <col min="12" max="12" width="11.7109375" customWidth="1"/>
    <col min="13" max="13" width="11.85546875" bestFit="1" customWidth="1"/>
    <col min="14" max="14" width="12.140625" style="1" bestFit="1" customWidth="1"/>
    <col min="15" max="15" width="14.28515625" style="1" bestFit="1" customWidth="1"/>
    <col min="16" max="16" width="12.140625" bestFit="1" customWidth="1"/>
    <col min="17" max="17" width="11.7109375" bestFit="1" customWidth="1"/>
    <col min="18" max="18" width="11.140625" style="25" bestFit="1" customWidth="1"/>
    <col min="19" max="19" width="11.7109375" customWidth="1"/>
    <col min="20" max="20" width="12.140625" customWidth="1"/>
  </cols>
  <sheetData>
    <row r="1" spans="1:21" ht="15.75" thickBot="1">
      <c r="A1" s="105" t="s">
        <v>0</v>
      </c>
      <c r="B1" s="105"/>
      <c r="C1" s="106" t="s">
        <v>1</v>
      </c>
      <c r="D1" s="106"/>
      <c r="E1" t="s">
        <v>48</v>
      </c>
      <c r="F1" s="2">
        <f>SUM(C2-A2)</f>
        <v>0</v>
      </c>
      <c r="G1" s="59" t="s">
        <v>6</v>
      </c>
      <c r="H1" s="60" t="s">
        <v>47</v>
      </c>
      <c r="I1" s="60" t="s">
        <v>92</v>
      </c>
      <c r="J1" s="61" t="s">
        <v>135</v>
      </c>
      <c r="K1" s="60" t="s">
        <v>78</v>
      </c>
      <c r="L1" s="60" t="s">
        <v>8</v>
      </c>
      <c r="M1" s="62" t="s">
        <v>138</v>
      </c>
      <c r="N1" s="63" t="s">
        <v>6</v>
      </c>
      <c r="O1" s="66" t="s">
        <v>47</v>
      </c>
      <c r="P1" s="63" t="s">
        <v>92</v>
      </c>
      <c r="Q1" s="64" t="s">
        <v>135</v>
      </c>
      <c r="R1" s="64" t="s">
        <v>78</v>
      </c>
      <c r="S1" s="63" t="s">
        <v>8</v>
      </c>
      <c r="T1" s="65" t="s">
        <v>138</v>
      </c>
      <c r="U1" s="5"/>
    </row>
    <row r="2" spans="1:21">
      <c r="A2" s="16">
        <f>SUM(H:H)</f>
        <v>0</v>
      </c>
      <c r="B2" s="1" t="s">
        <v>64</v>
      </c>
      <c r="C2" s="17">
        <f>SUM(O:O)</f>
        <v>0</v>
      </c>
      <c r="D2" s="1" t="s">
        <v>65</v>
      </c>
      <c r="H2" s="22"/>
      <c r="I2" s="15"/>
      <c r="N2" s="15"/>
      <c r="T2" s="58"/>
      <c r="U2" s="5"/>
    </row>
    <row r="3" spans="1:21">
      <c r="A3" s="1"/>
      <c r="D3" s="1"/>
      <c r="H3" s="23"/>
      <c r="I3" s="15"/>
      <c r="N3" s="15"/>
      <c r="T3" s="58"/>
      <c r="U3" s="5"/>
    </row>
    <row r="4" spans="1:21">
      <c r="A4" s="1"/>
      <c r="D4" s="1"/>
      <c r="I4" s="15"/>
      <c r="J4" s="23"/>
      <c r="M4" s="15"/>
      <c r="N4" s="29"/>
      <c r="T4" s="58"/>
      <c r="U4" s="5"/>
    </row>
    <row r="5" spans="1:21">
      <c r="A5" s="1"/>
      <c r="D5" s="1"/>
      <c r="I5" s="15"/>
      <c r="J5" s="23"/>
      <c r="M5" s="15"/>
      <c r="N5" s="15"/>
      <c r="T5" s="58"/>
      <c r="U5" s="5"/>
    </row>
    <row r="6" spans="1:21">
      <c r="A6" s="1"/>
      <c r="D6" s="1"/>
      <c r="I6" s="15"/>
      <c r="M6" s="15"/>
      <c r="N6" s="15"/>
      <c r="T6" s="58"/>
      <c r="U6" s="5"/>
    </row>
    <row r="7" spans="1:21">
      <c r="A7" s="1"/>
      <c r="I7" s="15"/>
      <c r="N7" s="15"/>
      <c r="T7" s="15"/>
    </row>
    <row r="8" spans="1:21">
      <c r="A8" s="2"/>
      <c r="D8" s="2"/>
      <c r="M8" s="15"/>
      <c r="N8" s="29"/>
    </row>
    <row r="10" spans="1:21">
      <c r="M10" s="15"/>
    </row>
    <row r="40" spans="19:19">
      <c r="S40" s="3"/>
    </row>
    <row r="41" spans="19:19">
      <c r="S41" s="3"/>
    </row>
    <row r="42" spans="19:19">
      <c r="S42" s="3"/>
    </row>
    <row r="43" spans="19:19">
      <c r="S43" s="3"/>
    </row>
    <row r="44" spans="19:19">
      <c r="S44" s="3"/>
    </row>
    <row r="66" spans="9:9">
      <c r="I66" s="4"/>
    </row>
    <row r="72" spans="9:9">
      <c r="I72" s="4"/>
    </row>
  </sheetData>
  <mergeCells count="2">
    <mergeCell ref="A1:B1"/>
    <mergeCell ref="C1:D1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E3700-C06F-4B41-B0D5-E6DDBCCF5F0B}">
  <sheetPr codeName="Planilha7"/>
  <dimension ref="A1:U72"/>
  <sheetViews>
    <sheetView workbookViewId="0">
      <selection activeCell="G1" sqref="G1:T1048576"/>
    </sheetView>
  </sheetViews>
  <sheetFormatPr defaultRowHeight="15"/>
  <cols>
    <col min="1" max="1" width="12.140625" bestFit="1" customWidth="1"/>
    <col min="2" max="2" width="14" bestFit="1" customWidth="1"/>
    <col min="3" max="3" width="15" bestFit="1" customWidth="1"/>
    <col min="4" max="4" width="12.140625" bestFit="1" customWidth="1"/>
    <col min="6" max="6" width="12.140625" bestFit="1" customWidth="1"/>
    <col min="7" max="7" width="10" bestFit="1" customWidth="1"/>
    <col min="8" max="8" width="12.28515625" bestFit="1" customWidth="1"/>
    <col min="9" max="9" width="16.85546875" bestFit="1" customWidth="1"/>
    <col min="10" max="10" width="11.7109375" style="16" bestFit="1" customWidth="1"/>
    <col min="11" max="11" width="11.140625" style="25" bestFit="1" customWidth="1"/>
    <col min="12" max="12" width="11.7109375" customWidth="1"/>
    <col min="13" max="13" width="11.85546875" bestFit="1" customWidth="1"/>
    <col min="14" max="14" width="12.140625" style="1" bestFit="1" customWidth="1"/>
    <col min="15" max="15" width="14.28515625" style="1" bestFit="1" customWidth="1"/>
    <col min="16" max="16" width="12.140625" bestFit="1" customWidth="1"/>
    <col min="17" max="17" width="11.7109375" bestFit="1" customWidth="1"/>
    <col min="18" max="18" width="11.140625" style="25" bestFit="1" customWidth="1"/>
    <col min="19" max="19" width="11.7109375" customWidth="1"/>
    <col min="20" max="20" width="12.140625" customWidth="1"/>
  </cols>
  <sheetData>
    <row r="1" spans="1:21" ht="15.75" thickBot="1">
      <c r="A1" s="105" t="s">
        <v>0</v>
      </c>
      <c r="B1" s="105"/>
      <c r="C1" s="106" t="s">
        <v>1</v>
      </c>
      <c r="D1" s="106"/>
      <c r="E1" t="s">
        <v>48</v>
      </c>
      <c r="F1" s="2">
        <f>SUM(C2-A2)</f>
        <v>0</v>
      </c>
      <c r="G1" s="59" t="s">
        <v>6</v>
      </c>
      <c r="H1" s="60" t="s">
        <v>47</v>
      </c>
      <c r="I1" s="60" t="s">
        <v>92</v>
      </c>
      <c r="J1" s="61" t="s">
        <v>135</v>
      </c>
      <c r="K1" s="60" t="s">
        <v>78</v>
      </c>
      <c r="L1" s="60" t="s">
        <v>8</v>
      </c>
      <c r="M1" s="62" t="s">
        <v>138</v>
      </c>
      <c r="N1" s="63" t="s">
        <v>6</v>
      </c>
      <c r="O1" s="66" t="s">
        <v>47</v>
      </c>
      <c r="P1" s="63" t="s">
        <v>92</v>
      </c>
      <c r="Q1" s="64" t="s">
        <v>135</v>
      </c>
      <c r="R1" s="64" t="s">
        <v>78</v>
      </c>
      <c r="S1" s="63" t="s">
        <v>8</v>
      </c>
      <c r="T1" s="65" t="s">
        <v>138</v>
      </c>
      <c r="U1" s="5"/>
    </row>
    <row r="2" spans="1:21">
      <c r="A2" s="16">
        <f>SUM(H:H)</f>
        <v>0</v>
      </c>
      <c r="B2" s="1" t="s">
        <v>64</v>
      </c>
      <c r="C2" s="17">
        <f>SUM(O:O)</f>
        <v>0</v>
      </c>
      <c r="D2" s="1" t="s">
        <v>65</v>
      </c>
      <c r="H2" s="22"/>
      <c r="I2" s="15"/>
      <c r="N2" s="15"/>
      <c r="T2" s="58"/>
      <c r="U2" s="5"/>
    </row>
    <row r="3" spans="1:21">
      <c r="A3" s="1"/>
      <c r="D3" s="1"/>
      <c r="H3" s="23"/>
      <c r="I3" s="15"/>
      <c r="N3" s="15"/>
      <c r="T3" s="58"/>
      <c r="U3" s="5"/>
    </row>
    <row r="4" spans="1:21">
      <c r="A4" s="1"/>
      <c r="D4" s="1"/>
      <c r="I4" s="15"/>
      <c r="J4" s="23"/>
      <c r="M4" s="15"/>
      <c r="N4" s="29"/>
      <c r="T4" s="58"/>
      <c r="U4" s="5"/>
    </row>
    <row r="5" spans="1:21">
      <c r="A5" s="1"/>
      <c r="D5" s="1"/>
      <c r="I5" s="15"/>
      <c r="J5" s="23"/>
      <c r="M5" s="15"/>
      <c r="N5" s="15"/>
      <c r="T5" s="58"/>
      <c r="U5" s="5"/>
    </row>
    <row r="6" spans="1:21">
      <c r="A6" s="1"/>
      <c r="D6" s="1"/>
      <c r="I6" s="15"/>
      <c r="M6" s="15"/>
      <c r="N6" s="15"/>
      <c r="T6" s="58"/>
      <c r="U6" s="5"/>
    </row>
    <row r="7" spans="1:21">
      <c r="A7" s="1"/>
      <c r="I7" s="15"/>
      <c r="N7" s="15"/>
      <c r="T7" s="15"/>
    </row>
    <row r="8" spans="1:21">
      <c r="A8" s="2"/>
      <c r="D8" s="2"/>
      <c r="M8" s="15"/>
      <c r="N8" s="29"/>
    </row>
    <row r="10" spans="1:21">
      <c r="M10" s="15"/>
    </row>
    <row r="40" spans="19:19">
      <c r="S40" s="3"/>
    </row>
    <row r="41" spans="19:19">
      <c r="S41" s="3"/>
    </row>
    <row r="42" spans="19:19">
      <c r="S42" s="3"/>
    </row>
    <row r="43" spans="19:19">
      <c r="S43" s="3"/>
    </row>
    <row r="44" spans="19:19">
      <c r="S44" s="3"/>
    </row>
    <row r="66" spans="9:9">
      <c r="I66" s="4"/>
    </row>
    <row r="72" spans="9:9">
      <c r="I72" s="4"/>
    </row>
  </sheetData>
  <mergeCells count="2">
    <mergeCell ref="A1:B1"/>
    <mergeCell ref="C1:D1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6EA5E-8008-4CD2-8D80-FFAB230F45C7}">
  <sheetPr codeName="Planilha8"/>
  <dimension ref="A1:U72"/>
  <sheetViews>
    <sheetView workbookViewId="0">
      <selection activeCell="G1" sqref="G1:T1048576"/>
    </sheetView>
  </sheetViews>
  <sheetFormatPr defaultRowHeight="15"/>
  <cols>
    <col min="1" max="1" width="12.140625" bestFit="1" customWidth="1"/>
    <col min="2" max="2" width="14" bestFit="1" customWidth="1"/>
    <col min="3" max="3" width="15" bestFit="1" customWidth="1"/>
    <col min="4" max="4" width="12.140625" bestFit="1" customWidth="1"/>
    <col min="5" max="5" width="12.85546875" bestFit="1" customWidth="1"/>
    <col min="6" max="6" width="13.28515625" bestFit="1" customWidth="1"/>
    <col min="7" max="7" width="10" bestFit="1" customWidth="1"/>
    <col min="8" max="8" width="12.28515625" bestFit="1" customWidth="1"/>
    <col min="9" max="9" width="16.85546875" bestFit="1" customWidth="1"/>
    <col min="10" max="10" width="11.7109375" style="16" bestFit="1" customWidth="1"/>
    <col min="11" max="11" width="11.140625" style="25" bestFit="1" customWidth="1"/>
    <col min="12" max="12" width="11.7109375" customWidth="1"/>
    <col min="13" max="13" width="11.85546875" bestFit="1" customWidth="1"/>
    <col min="14" max="14" width="12.140625" style="1" bestFit="1" customWidth="1"/>
    <col min="15" max="15" width="14.28515625" style="1" bestFit="1" customWidth="1"/>
    <col min="16" max="16" width="12.140625" bestFit="1" customWidth="1"/>
    <col min="17" max="17" width="11.7109375" bestFit="1" customWidth="1"/>
    <col min="18" max="18" width="11.140625" style="25" bestFit="1" customWidth="1"/>
    <col min="19" max="19" width="11.7109375" customWidth="1"/>
    <col min="20" max="20" width="12.140625" customWidth="1"/>
  </cols>
  <sheetData>
    <row r="1" spans="1:21" ht="15.75" thickBot="1">
      <c r="A1" s="105" t="s">
        <v>0</v>
      </c>
      <c r="B1" s="105"/>
      <c r="C1" s="106" t="s">
        <v>1</v>
      </c>
      <c r="D1" s="106"/>
      <c r="E1" t="s">
        <v>48</v>
      </c>
      <c r="F1" s="2">
        <f>SUM(C2-A2)</f>
        <v>0</v>
      </c>
      <c r="G1" s="59" t="s">
        <v>6</v>
      </c>
      <c r="H1" s="60" t="s">
        <v>47</v>
      </c>
      <c r="I1" s="60" t="s">
        <v>92</v>
      </c>
      <c r="J1" s="61" t="s">
        <v>135</v>
      </c>
      <c r="K1" s="60" t="s">
        <v>78</v>
      </c>
      <c r="L1" s="60" t="s">
        <v>8</v>
      </c>
      <c r="M1" s="62" t="s">
        <v>138</v>
      </c>
      <c r="N1" s="63" t="s">
        <v>6</v>
      </c>
      <c r="O1" s="66" t="s">
        <v>47</v>
      </c>
      <c r="P1" s="63" t="s">
        <v>92</v>
      </c>
      <c r="Q1" s="64" t="s">
        <v>135</v>
      </c>
      <c r="R1" s="64" t="s">
        <v>78</v>
      </c>
      <c r="S1" s="63" t="s">
        <v>8</v>
      </c>
      <c r="T1" s="65" t="s">
        <v>138</v>
      </c>
      <c r="U1" s="5"/>
    </row>
    <row r="2" spans="1:21">
      <c r="A2" s="16">
        <f>SUM(H:H)</f>
        <v>0</v>
      </c>
      <c r="B2" s="1" t="s">
        <v>64</v>
      </c>
      <c r="C2" s="17">
        <f>SUM(O:O)</f>
        <v>0</v>
      </c>
      <c r="D2" s="1" t="s">
        <v>65</v>
      </c>
      <c r="H2" s="22"/>
      <c r="I2" s="15"/>
      <c r="N2" s="15"/>
      <c r="T2" s="58"/>
      <c r="U2" s="5"/>
    </row>
    <row r="3" spans="1:21">
      <c r="A3" s="1"/>
      <c r="D3" s="1"/>
      <c r="H3" s="23"/>
      <c r="I3" s="15"/>
      <c r="N3" s="15"/>
      <c r="T3" s="58"/>
      <c r="U3" s="5"/>
    </row>
    <row r="4" spans="1:21">
      <c r="A4" s="1"/>
      <c r="D4" s="1"/>
      <c r="I4" s="15"/>
      <c r="J4" s="23"/>
      <c r="M4" s="15"/>
      <c r="N4" s="29"/>
      <c r="T4" s="58"/>
      <c r="U4" s="5"/>
    </row>
    <row r="5" spans="1:21">
      <c r="A5" s="1"/>
      <c r="D5" s="1"/>
      <c r="I5" s="15"/>
      <c r="J5" s="23"/>
      <c r="M5" s="15"/>
      <c r="N5" s="15"/>
      <c r="T5" s="58"/>
      <c r="U5" s="5"/>
    </row>
    <row r="6" spans="1:21">
      <c r="A6" s="1"/>
      <c r="D6" s="1"/>
      <c r="I6" s="15"/>
      <c r="M6" s="15"/>
      <c r="N6" s="15"/>
      <c r="T6" s="58"/>
      <c r="U6" s="5"/>
    </row>
    <row r="7" spans="1:21">
      <c r="A7" s="1"/>
      <c r="I7" s="15"/>
      <c r="N7" s="15"/>
      <c r="T7" s="15"/>
    </row>
    <row r="8" spans="1:21">
      <c r="A8" s="2"/>
      <c r="D8" s="2"/>
      <c r="M8" s="15"/>
      <c r="N8" s="29"/>
    </row>
    <row r="10" spans="1:21">
      <c r="M10" s="15"/>
    </row>
    <row r="40" spans="19:19">
      <c r="S40" s="3"/>
    </row>
    <row r="41" spans="19:19">
      <c r="S41" s="3"/>
    </row>
    <row r="42" spans="19:19">
      <c r="S42" s="3"/>
    </row>
    <row r="43" spans="19:19">
      <c r="S43" s="3"/>
    </row>
    <row r="44" spans="19:19">
      <c r="S44" s="3"/>
    </row>
    <row r="66" spans="9:9">
      <c r="I66" s="4"/>
    </row>
    <row r="72" spans="9:9">
      <c r="I72" s="4"/>
    </row>
  </sheetData>
  <mergeCells count="2">
    <mergeCell ref="A1:B1"/>
    <mergeCell ref="C1:D1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251B3-DDF6-4E6F-B40F-0EAF9A83E4A1}">
  <sheetPr codeName="Planilha9"/>
  <dimension ref="A1:U72"/>
  <sheetViews>
    <sheetView workbookViewId="0">
      <selection activeCell="G1" sqref="G1:T1048576"/>
    </sheetView>
  </sheetViews>
  <sheetFormatPr defaultRowHeight="15"/>
  <cols>
    <col min="1" max="1" width="12.140625" bestFit="1" customWidth="1"/>
    <col min="2" max="2" width="14" bestFit="1" customWidth="1"/>
    <col min="3" max="3" width="15" bestFit="1" customWidth="1"/>
    <col min="4" max="4" width="12.140625" bestFit="1" customWidth="1"/>
    <col min="6" max="6" width="12.140625" bestFit="1" customWidth="1"/>
    <col min="7" max="7" width="10" bestFit="1" customWidth="1"/>
    <col min="8" max="8" width="12.28515625" bestFit="1" customWidth="1"/>
    <col min="9" max="9" width="16.85546875" bestFit="1" customWidth="1"/>
    <col min="10" max="10" width="11.7109375" style="16" bestFit="1" customWidth="1"/>
    <col min="11" max="11" width="11.140625" style="25" bestFit="1" customWidth="1"/>
    <col min="12" max="12" width="11.7109375" customWidth="1"/>
    <col min="13" max="13" width="11.85546875" bestFit="1" customWidth="1"/>
    <col min="14" max="14" width="12.140625" style="1" bestFit="1" customWidth="1"/>
    <col min="15" max="15" width="14.28515625" style="1" bestFit="1" customWidth="1"/>
    <col min="16" max="16" width="12.140625" bestFit="1" customWidth="1"/>
    <col min="17" max="17" width="11.7109375" bestFit="1" customWidth="1"/>
    <col min="18" max="18" width="11.140625" style="25" bestFit="1" customWidth="1"/>
    <col min="19" max="19" width="11.7109375" customWidth="1"/>
    <col min="20" max="20" width="12.140625" customWidth="1"/>
  </cols>
  <sheetData>
    <row r="1" spans="1:21" ht="15.75" thickBot="1">
      <c r="A1" s="105" t="s">
        <v>0</v>
      </c>
      <c r="B1" s="105"/>
      <c r="C1" s="106" t="s">
        <v>1</v>
      </c>
      <c r="D1" s="106"/>
      <c r="E1" t="s">
        <v>48</v>
      </c>
      <c r="F1" s="2">
        <f>SUM(C2-A2)</f>
        <v>0</v>
      </c>
      <c r="G1" s="59" t="s">
        <v>6</v>
      </c>
      <c r="H1" s="60" t="s">
        <v>47</v>
      </c>
      <c r="I1" s="60" t="s">
        <v>92</v>
      </c>
      <c r="J1" s="61" t="s">
        <v>135</v>
      </c>
      <c r="K1" s="60" t="s">
        <v>78</v>
      </c>
      <c r="L1" s="60" t="s">
        <v>8</v>
      </c>
      <c r="M1" s="62" t="s">
        <v>138</v>
      </c>
      <c r="N1" s="63" t="s">
        <v>6</v>
      </c>
      <c r="O1" s="66" t="s">
        <v>47</v>
      </c>
      <c r="P1" s="63" t="s">
        <v>92</v>
      </c>
      <c r="Q1" s="64" t="s">
        <v>135</v>
      </c>
      <c r="R1" s="64" t="s">
        <v>78</v>
      </c>
      <c r="S1" s="63" t="s">
        <v>8</v>
      </c>
      <c r="T1" s="65" t="s">
        <v>138</v>
      </c>
      <c r="U1" s="5"/>
    </row>
    <row r="2" spans="1:21">
      <c r="A2" s="16">
        <f>SUM(H:H)</f>
        <v>0</v>
      </c>
      <c r="B2" s="1" t="s">
        <v>64</v>
      </c>
      <c r="C2" s="17">
        <f>SUM(O:O)</f>
        <v>0</v>
      </c>
      <c r="D2" s="1" t="s">
        <v>65</v>
      </c>
      <c r="H2" s="22"/>
      <c r="I2" s="15"/>
      <c r="N2" s="15"/>
      <c r="T2" s="58"/>
      <c r="U2" s="5"/>
    </row>
    <row r="3" spans="1:21">
      <c r="A3" s="1"/>
      <c r="D3" s="1"/>
      <c r="H3" s="23"/>
      <c r="I3" s="15"/>
      <c r="N3" s="15"/>
      <c r="T3" s="58"/>
      <c r="U3" s="5"/>
    </row>
    <row r="4" spans="1:21">
      <c r="A4" s="1"/>
      <c r="D4" s="1"/>
      <c r="I4" s="15"/>
      <c r="J4" s="23"/>
      <c r="M4" s="15"/>
      <c r="N4" s="29"/>
      <c r="T4" s="58"/>
      <c r="U4" s="5"/>
    </row>
    <row r="5" spans="1:21">
      <c r="A5" s="1"/>
      <c r="D5" s="1"/>
      <c r="I5" s="15"/>
      <c r="J5" s="23"/>
      <c r="M5" s="15"/>
      <c r="N5" s="15"/>
      <c r="T5" s="58"/>
      <c r="U5" s="5"/>
    </row>
    <row r="6" spans="1:21">
      <c r="A6" s="1"/>
      <c r="D6" s="1"/>
      <c r="I6" s="15"/>
      <c r="M6" s="15"/>
      <c r="N6" s="15"/>
      <c r="T6" s="58"/>
      <c r="U6" s="5"/>
    </row>
    <row r="7" spans="1:21">
      <c r="A7" s="1"/>
      <c r="I7" s="15"/>
      <c r="N7" s="15"/>
      <c r="T7" s="15"/>
    </row>
    <row r="8" spans="1:21">
      <c r="A8" s="2"/>
      <c r="D8" s="2"/>
      <c r="M8" s="15"/>
      <c r="N8" s="29"/>
    </row>
    <row r="10" spans="1:21">
      <c r="M10" s="15"/>
    </row>
    <row r="40" spans="19:19">
      <c r="S40" s="3"/>
    </row>
    <row r="41" spans="19:19">
      <c r="S41" s="3"/>
    </row>
    <row r="42" spans="19:19">
      <c r="S42" s="3"/>
    </row>
    <row r="43" spans="19:19">
      <c r="S43" s="3"/>
    </row>
    <row r="44" spans="19:19">
      <c r="S44" s="3"/>
    </row>
    <row r="66" spans="9:9">
      <c r="I66" s="4"/>
    </row>
    <row r="72" spans="9:9">
      <c r="I72" s="4"/>
    </row>
  </sheetData>
  <mergeCells count="2">
    <mergeCell ref="A1:B1"/>
    <mergeCell ref="C1:D1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00C29-5F61-4708-B9AB-420E81E0D9C4}">
  <sheetPr codeName="Planilha10"/>
  <dimension ref="A1:U72"/>
  <sheetViews>
    <sheetView workbookViewId="0">
      <selection activeCell="G1" sqref="G1:T1048576"/>
    </sheetView>
  </sheetViews>
  <sheetFormatPr defaultRowHeight="15"/>
  <cols>
    <col min="1" max="1" width="12.140625" bestFit="1" customWidth="1"/>
    <col min="2" max="2" width="14" bestFit="1" customWidth="1"/>
    <col min="3" max="3" width="15" bestFit="1" customWidth="1"/>
    <col min="4" max="4" width="12.140625" bestFit="1" customWidth="1"/>
    <col min="6" max="6" width="12.85546875" customWidth="1"/>
    <col min="7" max="7" width="10" bestFit="1" customWidth="1"/>
    <col min="8" max="8" width="12.28515625" bestFit="1" customWidth="1"/>
    <col min="9" max="9" width="16.85546875" bestFit="1" customWidth="1"/>
    <col min="10" max="10" width="11.7109375" style="16" bestFit="1" customWidth="1"/>
    <col min="11" max="11" width="11.140625" style="25" bestFit="1" customWidth="1"/>
    <col min="12" max="12" width="11.7109375" customWidth="1"/>
    <col min="13" max="13" width="11.85546875" bestFit="1" customWidth="1"/>
    <col min="14" max="14" width="12.140625" style="1" bestFit="1" customWidth="1"/>
    <col min="15" max="15" width="14.28515625" style="1" bestFit="1" customWidth="1"/>
    <col min="16" max="16" width="12.140625" bestFit="1" customWidth="1"/>
    <col min="17" max="17" width="11.7109375" bestFit="1" customWidth="1"/>
    <col min="18" max="18" width="11.140625" style="25" bestFit="1" customWidth="1"/>
    <col min="19" max="19" width="11.7109375" customWidth="1"/>
    <col min="20" max="20" width="12.140625" customWidth="1"/>
  </cols>
  <sheetData>
    <row r="1" spans="1:21" ht="15.75" thickBot="1">
      <c r="A1" s="105" t="s">
        <v>0</v>
      </c>
      <c r="B1" s="105"/>
      <c r="C1" s="106" t="s">
        <v>1</v>
      </c>
      <c r="D1" s="106"/>
      <c r="E1" t="s">
        <v>48</v>
      </c>
      <c r="F1" s="2">
        <f>SUM(C2-A2)</f>
        <v>0</v>
      </c>
      <c r="G1" s="59" t="s">
        <v>6</v>
      </c>
      <c r="H1" s="60" t="s">
        <v>47</v>
      </c>
      <c r="I1" s="60" t="s">
        <v>92</v>
      </c>
      <c r="J1" s="61" t="s">
        <v>135</v>
      </c>
      <c r="K1" s="60" t="s">
        <v>78</v>
      </c>
      <c r="L1" s="60" t="s">
        <v>8</v>
      </c>
      <c r="M1" s="62" t="s">
        <v>138</v>
      </c>
      <c r="N1" s="63" t="s">
        <v>6</v>
      </c>
      <c r="O1" s="66" t="s">
        <v>47</v>
      </c>
      <c r="P1" s="63" t="s">
        <v>92</v>
      </c>
      <c r="Q1" s="64" t="s">
        <v>135</v>
      </c>
      <c r="R1" s="64" t="s">
        <v>78</v>
      </c>
      <c r="S1" s="63" t="s">
        <v>8</v>
      </c>
      <c r="T1" s="65" t="s">
        <v>138</v>
      </c>
      <c r="U1" s="5"/>
    </row>
    <row r="2" spans="1:21">
      <c r="A2" s="16">
        <f>SUM(H:H)</f>
        <v>0</v>
      </c>
      <c r="B2" s="1" t="s">
        <v>64</v>
      </c>
      <c r="C2" s="17">
        <f>SUM(O:O)</f>
        <v>0</v>
      </c>
      <c r="D2" s="1" t="s">
        <v>65</v>
      </c>
      <c r="H2" s="22"/>
      <c r="I2" s="15"/>
      <c r="N2" s="15"/>
      <c r="T2" s="58"/>
      <c r="U2" s="5"/>
    </row>
    <row r="3" spans="1:21">
      <c r="A3" s="1"/>
      <c r="D3" s="1"/>
      <c r="H3" s="23"/>
      <c r="I3" s="15"/>
      <c r="N3" s="15"/>
      <c r="T3" s="58"/>
      <c r="U3" s="5"/>
    </row>
    <row r="4" spans="1:21">
      <c r="A4" s="1"/>
      <c r="D4" s="1"/>
      <c r="I4" s="15"/>
      <c r="J4" s="23"/>
      <c r="M4" s="15"/>
      <c r="N4" s="29"/>
      <c r="T4" s="58"/>
      <c r="U4" s="5"/>
    </row>
    <row r="5" spans="1:21">
      <c r="A5" s="1"/>
      <c r="D5" s="1"/>
      <c r="I5" s="15"/>
      <c r="J5" s="23"/>
      <c r="M5" s="15"/>
      <c r="N5" s="15"/>
      <c r="T5" s="58"/>
      <c r="U5" s="5"/>
    </row>
    <row r="6" spans="1:21">
      <c r="A6" s="1"/>
      <c r="D6" s="1"/>
      <c r="I6" s="15"/>
      <c r="M6" s="15"/>
      <c r="N6" s="15"/>
      <c r="T6" s="58"/>
      <c r="U6" s="5"/>
    </row>
    <row r="7" spans="1:21">
      <c r="A7" s="1"/>
      <c r="I7" s="15"/>
      <c r="N7" s="15"/>
      <c r="T7" s="15"/>
    </row>
    <row r="8" spans="1:21">
      <c r="A8" s="2"/>
      <c r="D8" s="2"/>
      <c r="M8" s="15"/>
      <c r="N8" s="29"/>
    </row>
    <row r="10" spans="1:21">
      <c r="M10" s="15"/>
    </row>
    <row r="40" spans="19:19">
      <c r="S40" s="3"/>
    </row>
    <row r="41" spans="19:19">
      <c r="S41" s="3"/>
    </row>
    <row r="42" spans="19:19">
      <c r="S42" s="3"/>
    </row>
    <row r="43" spans="19:19">
      <c r="S43" s="3"/>
    </row>
    <row r="44" spans="19:19">
      <c r="S44" s="3"/>
    </row>
    <row r="66" spans="9:9">
      <c r="I66" s="4"/>
    </row>
    <row r="72" spans="9:9">
      <c r="I72" s="4"/>
    </row>
  </sheetData>
  <mergeCells count="2">
    <mergeCell ref="A1:B1"/>
    <mergeCell ref="C1:D1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75E36-6694-465A-8D8F-29F17D9BC083}">
  <sheetPr codeName="Planilha11"/>
  <dimension ref="A1:U72"/>
  <sheetViews>
    <sheetView workbookViewId="0">
      <selection activeCell="G1" sqref="G1:T1048576"/>
    </sheetView>
  </sheetViews>
  <sheetFormatPr defaultRowHeight="15"/>
  <cols>
    <col min="1" max="1" width="12.140625" bestFit="1" customWidth="1"/>
    <col min="2" max="2" width="14" bestFit="1" customWidth="1"/>
    <col min="3" max="3" width="15" bestFit="1" customWidth="1"/>
    <col min="4" max="4" width="12.140625" bestFit="1" customWidth="1"/>
    <col min="6" max="6" width="10.5703125" bestFit="1" customWidth="1"/>
    <col min="7" max="7" width="10" bestFit="1" customWidth="1"/>
    <col min="8" max="8" width="12.28515625" bestFit="1" customWidth="1"/>
    <col min="9" max="9" width="16.85546875" bestFit="1" customWidth="1"/>
    <col min="10" max="10" width="11.7109375" style="16" bestFit="1" customWidth="1"/>
    <col min="11" max="11" width="11.140625" style="25" bestFit="1" customWidth="1"/>
    <col min="12" max="12" width="11.7109375" customWidth="1"/>
    <col min="13" max="13" width="11.85546875" bestFit="1" customWidth="1"/>
    <col min="14" max="14" width="12.140625" style="1" bestFit="1" customWidth="1"/>
    <col min="15" max="15" width="14.28515625" style="1" bestFit="1" customWidth="1"/>
    <col min="16" max="16" width="12.140625" bestFit="1" customWidth="1"/>
    <col min="17" max="17" width="11.7109375" bestFit="1" customWidth="1"/>
    <col min="18" max="18" width="11.140625" style="25" bestFit="1" customWidth="1"/>
    <col min="19" max="19" width="11.7109375" customWidth="1"/>
    <col min="20" max="20" width="12.140625" customWidth="1"/>
  </cols>
  <sheetData>
    <row r="1" spans="1:21" ht="15.75" thickBot="1">
      <c r="A1" s="105" t="s">
        <v>0</v>
      </c>
      <c r="B1" s="105"/>
      <c r="C1" s="106" t="s">
        <v>1</v>
      </c>
      <c r="D1" s="106"/>
      <c r="E1" t="s">
        <v>48</v>
      </c>
      <c r="F1" s="2">
        <f>SUM(C2-A2)</f>
        <v>0</v>
      </c>
      <c r="G1" s="59" t="s">
        <v>6</v>
      </c>
      <c r="H1" s="60" t="s">
        <v>47</v>
      </c>
      <c r="I1" s="60" t="s">
        <v>92</v>
      </c>
      <c r="J1" s="61" t="s">
        <v>135</v>
      </c>
      <c r="K1" s="60" t="s">
        <v>78</v>
      </c>
      <c r="L1" s="60" t="s">
        <v>8</v>
      </c>
      <c r="M1" s="62" t="s">
        <v>138</v>
      </c>
      <c r="N1" s="63" t="s">
        <v>6</v>
      </c>
      <c r="O1" s="66" t="s">
        <v>47</v>
      </c>
      <c r="P1" s="63" t="s">
        <v>92</v>
      </c>
      <c r="Q1" s="64" t="s">
        <v>135</v>
      </c>
      <c r="R1" s="64" t="s">
        <v>78</v>
      </c>
      <c r="S1" s="63" t="s">
        <v>8</v>
      </c>
      <c r="T1" s="65" t="s">
        <v>138</v>
      </c>
      <c r="U1" s="5"/>
    </row>
    <row r="2" spans="1:21">
      <c r="A2" s="16">
        <f>SUM(H:H)</f>
        <v>0</v>
      </c>
      <c r="B2" s="1" t="s">
        <v>64</v>
      </c>
      <c r="C2" s="17">
        <f>SUM(O:O)</f>
        <v>0</v>
      </c>
      <c r="D2" s="1" t="s">
        <v>65</v>
      </c>
      <c r="H2" s="22"/>
      <c r="I2" s="15"/>
      <c r="N2" s="15"/>
      <c r="T2" s="58"/>
      <c r="U2" s="5"/>
    </row>
    <row r="3" spans="1:21">
      <c r="A3" s="1"/>
      <c r="D3" s="1"/>
      <c r="H3" s="23"/>
      <c r="I3" s="15"/>
      <c r="N3" s="15"/>
      <c r="T3" s="58"/>
      <c r="U3" s="5"/>
    </row>
    <row r="4" spans="1:21">
      <c r="A4" s="1"/>
      <c r="D4" s="1"/>
      <c r="I4" s="15"/>
      <c r="J4" s="23"/>
      <c r="M4" s="15"/>
      <c r="N4" s="29"/>
      <c r="T4" s="58"/>
      <c r="U4" s="5"/>
    </row>
    <row r="5" spans="1:21">
      <c r="A5" s="1"/>
      <c r="D5" s="1"/>
      <c r="I5" s="15"/>
      <c r="J5" s="23"/>
      <c r="M5" s="15"/>
      <c r="N5" s="15"/>
      <c r="T5" s="58"/>
      <c r="U5" s="5"/>
    </row>
    <row r="6" spans="1:21">
      <c r="A6" s="1"/>
      <c r="D6" s="1"/>
      <c r="I6" s="15"/>
      <c r="M6" s="15"/>
      <c r="N6" s="15"/>
      <c r="T6" s="58"/>
      <c r="U6" s="5"/>
    </row>
    <row r="7" spans="1:21">
      <c r="A7" s="1"/>
      <c r="I7" s="15"/>
      <c r="N7" s="15"/>
      <c r="T7" s="15"/>
    </row>
    <row r="8" spans="1:21">
      <c r="A8" s="2"/>
      <c r="D8" s="2"/>
      <c r="M8" s="15"/>
      <c r="N8" s="29"/>
    </row>
    <row r="10" spans="1:21">
      <c r="M10" s="15"/>
    </row>
    <row r="40" spans="19:19">
      <c r="S40" s="3"/>
    </row>
    <row r="41" spans="19:19">
      <c r="S41" s="3"/>
    </row>
    <row r="42" spans="19:19">
      <c r="S42" s="3"/>
    </row>
    <row r="43" spans="19:19">
      <c r="S43" s="3"/>
    </row>
    <row r="44" spans="19:19">
      <c r="S44" s="3"/>
    </row>
    <row r="66" spans="9:9">
      <c r="I66" s="4"/>
    </row>
    <row r="72" spans="9:9">
      <c r="I72" s="4"/>
    </row>
  </sheetData>
  <mergeCells count="2">
    <mergeCell ref="A1:B1"/>
    <mergeCell ref="C1:D1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8795B-A08F-48D3-A58D-708F709A2C7A}">
  <sheetPr codeName="Planilha12"/>
  <dimension ref="A1:U72"/>
  <sheetViews>
    <sheetView workbookViewId="0">
      <selection activeCell="G1" sqref="G1:T1048576"/>
    </sheetView>
  </sheetViews>
  <sheetFormatPr defaultRowHeight="15"/>
  <cols>
    <col min="1" max="1" width="12.140625" bestFit="1" customWidth="1"/>
    <col min="2" max="2" width="14" bestFit="1" customWidth="1"/>
    <col min="3" max="3" width="15" bestFit="1" customWidth="1"/>
    <col min="4" max="4" width="12.140625" bestFit="1" customWidth="1"/>
    <col min="6" max="6" width="11.85546875" customWidth="1"/>
    <col min="7" max="7" width="10" bestFit="1" customWidth="1"/>
    <col min="8" max="8" width="12.28515625" bestFit="1" customWidth="1"/>
    <col min="9" max="9" width="16.85546875" bestFit="1" customWidth="1"/>
    <col min="10" max="10" width="11.7109375" style="16" bestFit="1" customWidth="1"/>
    <col min="11" max="11" width="11.140625" style="25" bestFit="1" customWidth="1"/>
    <col min="12" max="12" width="11.7109375" customWidth="1"/>
    <col min="13" max="13" width="11.85546875" bestFit="1" customWidth="1"/>
    <col min="14" max="14" width="12.140625" style="1" bestFit="1" customWidth="1"/>
    <col min="15" max="15" width="14.28515625" style="1" bestFit="1" customWidth="1"/>
    <col min="16" max="16" width="12.140625" bestFit="1" customWidth="1"/>
    <col min="17" max="17" width="11.7109375" bestFit="1" customWidth="1"/>
    <col min="18" max="18" width="11.140625" style="25" bestFit="1" customWidth="1"/>
    <col min="19" max="19" width="11.7109375" customWidth="1"/>
    <col min="20" max="20" width="12.140625" customWidth="1"/>
  </cols>
  <sheetData>
    <row r="1" spans="1:21" ht="15.75" thickBot="1">
      <c r="A1" s="105" t="s">
        <v>0</v>
      </c>
      <c r="B1" s="105"/>
      <c r="C1" s="106" t="s">
        <v>1</v>
      </c>
      <c r="D1" s="106"/>
      <c r="E1" t="s">
        <v>48</v>
      </c>
      <c r="F1" s="2">
        <f>SUM(C2-A2)</f>
        <v>0</v>
      </c>
      <c r="G1" s="59" t="s">
        <v>6</v>
      </c>
      <c r="H1" s="60" t="s">
        <v>47</v>
      </c>
      <c r="I1" s="60" t="s">
        <v>92</v>
      </c>
      <c r="J1" s="61" t="s">
        <v>135</v>
      </c>
      <c r="K1" s="60" t="s">
        <v>78</v>
      </c>
      <c r="L1" s="60" t="s">
        <v>8</v>
      </c>
      <c r="M1" s="62" t="s">
        <v>138</v>
      </c>
      <c r="N1" s="63" t="s">
        <v>6</v>
      </c>
      <c r="O1" s="66" t="s">
        <v>47</v>
      </c>
      <c r="P1" s="63" t="s">
        <v>92</v>
      </c>
      <c r="Q1" s="64" t="s">
        <v>135</v>
      </c>
      <c r="R1" s="64" t="s">
        <v>78</v>
      </c>
      <c r="S1" s="63" t="s">
        <v>8</v>
      </c>
      <c r="T1" s="65" t="s">
        <v>138</v>
      </c>
      <c r="U1" s="5"/>
    </row>
    <row r="2" spans="1:21">
      <c r="A2" s="16">
        <f>SUM(H:H)</f>
        <v>0</v>
      </c>
      <c r="B2" s="1" t="s">
        <v>64</v>
      </c>
      <c r="C2" s="17">
        <f>SUM(O:O)</f>
        <v>0</v>
      </c>
      <c r="D2" s="1" t="s">
        <v>65</v>
      </c>
      <c r="H2" s="22"/>
      <c r="I2" s="15"/>
      <c r="N2" s="15"/>
      <c r="T2" s="58"/>
      <c r="U2" s="5"/>
    </row>
    <row r="3" spans="1:21">
      <c r="A3" s="1"/>
      <c r="D3" s="1"/>
      <c r="H3" s="23"/>
      <c r="I3" s="15"/>
      <c r="N3" s="15"/>
      <c r="T3" s="58"/>
      <c r="U3" s="5"/>
    </row>
    <row r="4" spans="1:21">
      <c r="A4" s="1"/>
      <c r="D4" s="1"/>
      <c r="I4" s="15"/>
      <c r="J4" s="23"/>
      <c r="M4" s="15"/>
      <c r="N4" s="29"/>
      <c r="T4" s="58"/>
      <c r="U4" s="5"/>
    </row>
    <row r="5" spans="1:21">
      <c r="A5" s="1"/>
      <c r="D5" s="1"/>
      <c r="I5" s="15"/>
      <c r="J5" s="23"/>
      <c r="M5" s="15"/>
      <c r="N5" s="15"/>
      <c r="T5" s="58"/>
      <c r="U5" s="5"/>
    </row>
    <row r="6" spans="1:21">
      <c r="A6" s="1"/>
      <c r="D6" s="1"/>
      <c r="I6" s="15"/>
      <c r="M6" s="15"/>
      <c r="N6" s="15"/>
      <c r="T6" s="58"/>
      <c r="U6" s="5"/>
    </row>
    <row r="7" spans="1:21">
      <c r="A7" s="1"/>
      <c r="I7" s="15"/>
      <c r="N7" s="15"/>
      <c r="T7" s="15"/>
    </row>
    <row r="8" spans="1:21">
      <c r="A8" s="2"/>
      <c r="D8" s="2"/>
      <c r="M8" s="15"/>
      <c r="N8" s="29"/>
    </row>
    <row r="10" spans="1:21">
      <c r="M10" s="15"/>
    </row>
    <row r="40" spans="19:19">
      <c r="S40" s="3"/>
    </row>
    <row r="41" spans="19:19">
      <c r="S41" s="3"/>
    </row>
    <row r="42" spans="19:19">
      <c r="S42" s="3"/>
    </row>
    <row r="43" spans="19:19">
      <c r="S43" s="3"/>
    </row>
    <row r="44" spans="19:19">
      <c r="S44" s="3"/>
    </row>
    <row r="66" spans="9:9">
      <c r="I66" s="4"/>
    </row>
    <row r="72" spans="9:9">
      <c r="I72" s="4"/>
    </row>
  </sheetData>
  <mergeCells count="2">
    <mergeCell ref="A1:B1"/>
    <mergeCell ref="C1:D1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5D5D8-12B8-4FA2-A882-B7E896EC9F07}">
  <sheetPr codeName="Planilha13"/>
  <dimension ref="A1:U72"/>
  <sheetViews>
    <sheetView workbookViewId="0">
      <selection activeCell="G1" sqref="G1:T1048576"/>
    </sheetView>
  </sheetViews>
  <sheetFormatPr defaultRowHeight="15"/>
  <cols>
    <col min="1" max="1" width="12.140625" bestFit="1" customWidth="1"/>
    <col min="2" max="2" width="14" bestFit="1" customWidth="1"/>
    <col min="3" max="3" width="15" bestFit="1" customWidth="1"/>
    <col min="4" max="4" width="12.140625" bestFit="1" customWidth="1"/>
    <col min="6" max="6" width="15" customWidth="1"/>
    <col min="7" max="7" width="10" bestFit="1" customWidth="1"/>
    <col min="8" max="8" width="12.28515625" bestFit="1" customWidth="1"/>
    <col min="9" max="9" width="16.85546875" bestFit="1" customWidth="1"/>
    <col min="10" max="10" width="11.7109375" style="16" bestFit="1" customWidth="1"/>
    <col min="11" max="11" width="11.140625" style="25" bestFit="1" customWidth="1"/>
    <col min="12" max="12" width="11.7109375" customWidth="1"/>
    <col min="13" max="13" width="11.85546875" bestFit="1" customWidth="1"/>
    <col min="14" max="14" width="12.140625" style="1" bestFit="1" customWidth="1"/>
    <col min="15" max="15" width="14.28515625" style="1" bestFit="1" customWidth="1"/>
    <col min="16" max="16" width="12.140625" bestFit="1" customWidth="1"/>
    <col min="17" max="17" width="11.7109375" bestFit="1" customWidth="1"/>
    <col min="18" max="18" width="11.140625" style="25" bestFit="1" customWidth="1"/>
    <col min="19" max="19" width="11.7109375" customWidth="1"/>
    <col min="20" max="20" width="12.140625" customWidth="1"/>
  </cols>
  <sheetData>
    <row r="1" spans="1:21" ht="15.75" thickBot="1">
      <c r="A1" s="105" t="s">
        <v>0</v>
      </c>
      <c r="B1" s="105"/>
      <c r="C1" s="106" t="s">
        <v>1</v>
      </c>
      <c r="D1" s="106"/>
      <c r="E1" t="s">
        <v>48</v>
      </c>
      <c r="F1" s="2">
        <f>SUM(C2-A2)</f>
        <v>0</v>
      </c>
      <c r="G1" s="59" t="s">
        <v>6</v>
      </c>
      <c r="H1" s="60" t="s">
        <v>47</v>
      </c>
      <c r="I1" s="60" t="s">
        <v>92</v>
      </c>
      <c r="J1" s="61" t="s">
        <v>135</v>
      </c>
      <c r="K1" s="60" t="s">
        <v>78</v>
      </c>
      <c r="L1" s="60" t="s">
        <v>8</v>
      </c>
      <c r="M1" s="62" t="s">
        <v>138</v>
      </c>
      <c r="N1" s="63" t="s">
        <v>6</v>
      </c>
      <c r="O1" s="66" t="s">
        <v>47</v>
      </c>
      <c r="P1" s="63" t="s">
        <v>92</v>
      </c>
      <c r="Q1" s="64" t="s">
        <v>135</v>
      </c>
      <c r="R1" s="64" t="s">
        <v>78</v>
      </c>
      <c r="S1" s="63" t="s">
        <v>8</v>
      </c>
      <c r="T1" s="65" t="s">
        <v>138</v>
      </c>
      <c r="U1" s="5"/>
    </row>
    <row r="2" spans="1:21">
      <c r="A2" s="16">
        <f>SUM(H:H)</f>
        <v>0</v>
      </c>
      <c r="B2" s="1" t="s">
        <v>64</v>
      </c>
      <c r="C2" s="17">
        <f>SUM(O:O)</f>
        <v>0</v>
      </c>
      <c r="D2" s="1" t="s">
        <v>65</v>
      </c>
      <c r="H2" s="22"/>
      <c r="I2" s="15"/>
      <c r="N2" s="15"/>
      <c r="T2" s="58"/>
      <c r="U2" s="5"/>
    </row>
    <row r="3" spans="1:21">
      <c r="A3" s="1"/>
      <c r="D3" s="1"/>
      <c r="H3" s="23"/>
      <c r="I3" s="15"/>
      <c r="N3" s="15"/>
      <c r="T3" s="58"/>
      <c r="U3" s="5"/>
    </row>
    <row r="4" spans="1:21">
      <c r="A4" s="1"/>
      <c r="D4" s="1"/>
      <c r="I4" s="15"/>
      <c r="J4" s="23"/>
      <c r="M4" s="15"/>
      <c r="N4" s="29"/>
      <c r="T4" s="58"/>
      <c r="U4" s="5"/>
    </row>
    <row r="5" spans="1:21">
      <c r="A5" s="1"/>
      <c r="D5" s="1"/>
      <c r="I5" s="15"/>
      <c r="J5" s="23"/>
      <c r="M5" s="15"/>
      <c r="N5" s="15"/>
      <c r="T5" s="58"/>
      <c r="U5" s="5"/>
    </row>
    <row r="6" spans="1:21">
      <c r="A6" s="1"/>
      <c r="D6" s="1"/>
      <c r="I6" s="15"/>
      <c r="M6" s="15"/>
      <c r="N6" s="15"/>
      <c r="T6" s="58"/>
      <c r="U6" s="5"/>
    </row>
    <row r="7" spans="1:21">
      <c r="A7" s="1"/>
      <c r="I7" s="15"/>
      <c r="N7" s="15"/>
      <c r="T7" s="15"/>
    </row>
    <row r="8" spans="1:21">
      <c r="A8" s="2"/>
      <c r="D8" s="2"/>
      <c r="M8" s="15"/>
      <c r="N8" s="29"/>
    </row>
    <row r="10" spans="1:21">
      <c r="M10" s="15"/>
    </row>
    <row r="40" spans="19:19">
      <c r="S40" s="3"/>
    </row>
    <row r="41" spans="19:19">
      <c r="S41" s="3"/>
    </row>
    <row r="42" spans="19:19">
      <c r="S42" s="3"/>
    </row>
    <row r="43" spans="19:19">
      <c r="S43" s="3"/>
    </row>
    <row r="44" spans="19:19">
      <c r="S44" s="3"/>
    </row>
    <row r="66" spans="9:9">
      <c r="I66" s="4"/>
    </row>
    <row r="72" spans="9:9">
      <c r="I72" s="4"/>
    </row>
  </sheetData>
  <mergeCells count="2">
    <mergeCell ref="A1:B1"/>
    <mergeCell ref="C1:D1"/>
  </mergeCell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CAFD4-B1B5-4E95-B69B-B404894044F2}">
  <sheetPr codeName="Planilha14"/>
  <dimension ref="A1:U72"/>
  <sheetViews>
    <sheetView workbookViewId="0">
      <selection activeCell="G1" sqref="G1:T1048576"/>
    </sheetView>
  </sheetViews>
  <sheetFormatPr defaultRowHeight="15"/>
  <cols>
    <col min="1" max="1" width="12.140625" bestFit="1" customWidth="1"/>
    <col min="2" max="2" width="14" bestFit="1" customWidth="1"/>
    <col min="3" max="3" width="15" bestFit="1" customWidth="1"/>
    <col min="4" max="4" width="12.140625" bestFit="1" customWidth="1"/>
    <col min="7" max="7" width="10" bestFit="1" customWidth="1"/>
    <col min="8" max="8" width="12.28515625" bestFit="1" customWidth="1"/>
    <col min="9" max="9" width="16.85546875" bestFit="1" customWidth="1"/>
    <col min="10" max="10" width="11.7109375" style="16" bestFit="1" customWidth="1"/>
    <col min="11" max="11" width="11.140625" style="25" bestFit="1" customWidth="1"/>
    <col min="12" max="12" width="11.7109375" customWidth="1"/>
    <col min="13" max="13" width="11.85546875" bestFit="1" customWidth="1"/>
    <col min="14" max="14" width="12.140625" style="1" bestFit="1" customWidth="1"/>
    <col min="15" max="15" width="14.28515625" style="1" bestFit="1" customWidth="1"/>
    <col min="16" max="16" width="12.140625" bestFit="1" customWidth="1"/>
    <col min="17" max="17" width="11.7109375" bestFit="1" customWidth="1"/>
    <col min="18" max="18" width="11.140625" style="25" bestFit="1" customWidth="1"/>
    <col min="19" max="19" width="11.7109375" customWidth="1"/>
    <col min="20" max="20" width="12.140625" customWidth="1"/>
  </cols>
  <sheetData>
    <row r="1" spans="1:21" ht="15.75" thickBot="1">
      <c r="A1" s="105" t="s">
        <v>0</v>
      </c>
      <c r="B1" s="105"/>
      <c r="C1" s="106" t="s">
        <v>1</v>
      </c>
      <c r="D1" s="106"/>
      <c r="E1" t="s">
        <v>48</v>
      </c>
      <c r="F1" s="2">
        <f>SUM(C2-A2)</f>
        <v>0</v>
      </c>
      <c r="G1" s="59" t="s">
        <v>6</v>
      </c>
      <c r="H1" s="60" t="s">
        <v>47</v>
      </c>
      <c r="I1" s="60" t="s">
        <v>92</v>
      </c>
      <c r="J1" s="61" t="s">
        <v>135</v>
      </c>
      <c r="K1" s="60" t="s">
        <v>78</v>
      </c>
      <c r="L1" s="60" t="s">
        <v>8</v>
      </c>
      <c r="M1" s="62" t="s">
        <v>138</v>
      </c>
      <c r="N1" s="63" t="s">
        <v>6</v>
      </c>
      <c r="O1" s="66" t="s">
        <v>47</v>
      </c>
      <c r="P1" s="63" t="s">
        <v>92</v>
      </c>
      <c r="Q1" s="64" t="s">
        <v>135</v>
      </c>
      <c r="R1" s="64" t="s">
        <v>78</v>
      </c>
      <c r="S1" s="63" t="s">
        <v>8</v>
      </c>
      <c r="T1" s="65" t="s">
        <v>138</v>
      </c>
      <c r="U1" s="5"/>
    </row>
    <row r="2" spans="1:21">
      <c r="A2" s="16">
        <f>SUM(H:H)</f>
        <v>0</v>
      </c>
      <c r="B2" s="1" t="s">
        <v>64</v>
      </c>
      <c r="C2" s="17">
        <f>SUM(O:O)</f>
        <v>0</v>
      </c>
      <c r="D2" s="1" t="s">
        <v>65</v>
      </c>
      <c r="H2" s="22"/>
      <c r="I2" s="15"/>
      <c r="N2" s="15"/>
      <c r="T2" s="58"/>
      <c r="U2" s="5"/>
    </row>
    <row r="3" spans="1:21">
      <c r="A3" s="1"/>
      <c r="D3" s="1"/>
      <c r="H3" s="23"/>
      <c r="I3" s="15"/>
      <c r="N3" s="15"/>
      <c r="T3" s="58"/>
      <c r="U3" s="5"/>
    </row>
    <row r="4" spans="1:21">
      <c r="A4" s="1"/>
      <c r="D4" s="1"/>
      <c r="I4" s="15"/>
      <c r="J4" s="23"/>
      <c r="M4" s="15"/>
      <c r="N4" s="29"/>
      <c r="T4" s="58"/>
      <c r="U4" s="5"/>
    </row>
    <row r="5" spans="1:21">
      <c r="A5" s="1"/>
      <c r="D5" s="1"/>
      <c r="I5" s="15"/>
      <c r="J5" s="23"/>
      <c r="M5" s="15"/>
      <c r="N5" s="15"/>
      <c r="T5" s="58"/>
      <c r="U5" s="5"/>
    </row>
    <row r="6" spans="1:21">
      <c r="A6" s="1"/>
      <c r="D6" s="1"/>
      <c r="I6" s="15"/>
      <c r="M6" s="15"/>
      <c r="N6" s="15"/>
      <c r="T6" s="58"/>
      <c r="U6" s="5"/>
    </row>
    <row r="7" spans="1:21">
      <c r="A7" s="1"/>
      <c r="I7" s="15"/>
      <c r="N7" s="15"/>
      <c r="T7" s="15"/>
    </row>
    <row r="8" spans="1:21">
      <c r="A8" s="2"/>
      <c r="D8" s="2"/>
      <c r="M8" s="15"/>
      <c r="N8" s="29"/>
    </row>
    <row r="10" spans="1:21">
      <c r="M10" s="15"/>
    </row>
    <row r="40" spans="19:19">
      <c r="S40" s="3"/>
    </row>
    <row r="41" spans="19:19">
      <c r="S41" s="3"/>
    </row>
    <row r="42" spans="19:19">
      <c r="S42" s="3"/>
    </row>
    <row r="43" spans="19:19">
      <c r="S43" s="3"/>
    </row>
    <row r="44" spans="19:19">
      <c r="S44" s="3"/>
    </row>
    <row r="66" spans="9:9">
      <c r="I66" s="4"/>
    </row>
    <row r="72" spans="9:9">
      <c r="I72" s="4"/>
    </row>
  </sheetData>
  <mergeCells count="2">
    <mergeCell ref="A1:B1"/>
    <mergeCell ref="C1:D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Início</vt:lpstr>
      <vt:lpstr>Dívidas</vt:lpstr>
      <vt:lpstr>Registros</vt:lpstr>
      <vt:lpstr>Tabelas Auxiliares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Dias</dc:creator>
  <cp:lastModifiedBy>Carlos Dias</cp:lastModifiedBy>
  <dcterms:created xsi:type="dcterms:W3CDTF">2025-01-15T09:34:32Z</dcterms:created>
  <dcterms:modified xsi:type="dcterms:W3CDTF">2025-07-25T22:10:37Z</dcterms:modified>
</cp:coreProperties>
</file>